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 PRODUCTION LOG" sheetId="1" state="visible" r:id="rId1"/>
    <sheet xmlns:r="http://schemas.openxmlformats.org/officeDocument/2006/relationships" name="DWM" sheetId="2" state="visible" r:id="rId2"/>
    <sheet xmlns:r="http://schemas.openxmlformats.org/officeDocument/2006/relationships" name="TOTAL ACT" sheetId="3" state="visible" r:id="rId3"/>
    <sheet xmlns:r="http://schemas.openxmlformats.org/officeDocument/2006/relationships" name="TD PRODUCTION" sheetId="4" state="visible" r:id="rId4"/>
  </sheets>
  <definedNames>
    <definedName name="_xlnm._FilterDatabase" localSheetId="0" hidden="1">'MS PRODUCTION LOG'!$A$1:$P$208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-YYYY"/>
    <numFmt numFmtId="166" formatCode="HH:MM"/>
    <numFmt numFmtId="167" formatCode="yyyy-mm-dd h:mm:ss"/>
    <numFmt numFmtId="168" formatCode="0.0%"/>
    <numFmt numFmtId="169" formatCode="0.0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91C1C"/>
      <sz val="9"/>
    </font>
    <font>
      <i val="1"/>
      <color rgb="0094A3B8"/>
      <sz val="9"/>
    </font>
    <font>
      <b val="1"/>
      <color rgb="001E293B"/>
      <sz val="12"/>
    </font>
    <font>
      <b val="1"/>
      <color rgb="00B91C1C"/>
    </font>
    <font>
      <b val="1"/>
    </font>
    <font>
      <b val="1"/>
      <color rgb="000369A1"/>
    </font>
    <font>
      <b val="1"/>
      <color rgb="000EA5E9"/>
    </font>
    <font>
      <b val="1"/>
      <color rgb="0038BDF8"/>
    </font>
    <font>
      <b val="1"/>
      <color rgb="00F8FAFC"/>
    </font>
    <font>
      <b val="1"/>
      <color rgb="00B91C1C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111827"/>
        <bgColor rgb="0011182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165" fontId="0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166" fontId="0" fillId="3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65" fontId="6" fillId="4" borderId="2" pivotButton="0" quotePrefix="0" xfId="0"/>
    <xf numFmtId="0" fontId="1" fillId="2" borderId="1" applyAlignment="1" pivotButton="0" quotePrefix="0" xfId="0">
      <alignment horizontal="center" vertical="center"/>
    </xf>
    <xf numFmtId="0" fontId="7" fillId="0" borderId="1" pivotButton="0" quotePrefix="0" xfId="0"/>
    <xf numFmtId="168" fontId="0" fillId="0" borderId="1" pivotButton="0" quotePrefix="0" xfId="0"/>
    <xf numFmtId="0" fontId="9" fillId="2" borderId="1" pivotButton="0" quotePrefix="0" xfId="0"/>
    <xf numFmtId="2" fontId="9" fillId="2" borderId="1" pivotButton="0" quotePrefix="0" xfId="0"/>
    <xf numFmtId="168" fontId="9" fillId="2" borderId="1" pivotButton="0" quotePrefix="0" xfId="0"/>
    <xf numFmtId="0" fontId="10" fillId="5" borderId="1" pivotButton="0" quotePrefix="0" xfId="0"/>
    <xf numFmtId="2" fontId="10" fillId="5" borderId="1" pivotButton="0" quotePrefix="0" xfId="0"/>
    <xf numFmtId="0" fontId="0" fillId="0" borderId="5" pivotButton="0" quotePrefix="0" xfId="0"/>
    <xf numFmtId="0" fontId="6" fillId="0" borderId="1" pivotButton="0" quotePrefix="0" xfId="0"/>
    <xf numFmtId="2" fontId="6" fillId="0" borderId="1" pivotButton="0" quotePrefix="0" xfId="0"/>
    <xf numFmtId="0" fontId="8" fillId="0" borderId="0" pivotButton="0" quotePrefix="0" xfId="0"/>
    <xf numFmtId="2" fontId="8" fillId="0" borderId="0" pivotButton="0" quotePrefix="0" xfId="0"/>
    <xf numFmtId="169" fontId="8" fillId="0" borderId="0" pivotButton="0" quotePrefix="0" xfId="0"/>
    <xf numFmtId="0" fontId="11" fillId="0" borderId="0" pivotButton="0" quotePrefix="0" xfId="0"/>
    <xf numFmtId="169" fontId="0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dxfs count="2">
    <dxf>
      <font>
        <b val="1"/>
        <color rgb="00065F46"/>
      </font>
      <fill>
        <patternFill patternType="solid">
          <fgColor rgb="00D1FAE5"/>
          <bgColor rgb="00D1FAE5"/>
        </patternFill>
      </fill>
    </dxf>
    <dxf>
      <font>
        <b val="1"/>
        <color rgb="00991B1B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10" customWidth="1" min="5" max="5"/>
    <col width="11" customWidth="1" min="6" max="6"/>
    <col width="13" customWidth="1" min="7" max="7"/>
    <col width="9" customWidth="1" min="8" max="8"/>
    <col width="9" customWidth="1" min="9" max="9"/>
    <col width="10" customWidth="1" min="10" max="10"/>
    <col width="14" customWidth="1" min="11" max="11"/>
    <col width="12" customWidth="1" min="12" max="12"/>
    <col width="14" customWidth="1" min="13" max="13"/>
    <col width="24" customWidth="1" min="14" max="14"/>
    <col width="32" customWidth="1" min="15" max="15"/>
    <col width="14" customWidth="1" min="16" max="16"/>
  </cols>
  <sheetData>
    <row r="1">
      <c r="A1" s="1" t="inlineStr">
        <is>
          <t>Date</t>
        </is>
      </c>
      <c r="B1" s="1" t="inlineStr">
        <is>
          <t>SQF No</t>
        </is>
      </c>
      <c r="C1" s="1" t="inlineStr">
        <is>
          <t>Batch No</t>
        </is>
      </c>
      <c r="D1" s="1" t="inlineStr">
        <is>
          <t>MS No</t>
        </is>
      </c>
      <c r="E1" s="1" t="inlineStr">
        <is>
          <t>Qty (Nos)</t>
        </is>
      </c>
      <c r="F1" s="1" t="inlineStr">
        <is>
          <t>Wt/Pc (Kg)</t>
        </is>
      </c>
      <c r="G1" s="1" t="inlineStr">
        <is>
          <t>Total Wt (Kg)</t>
        </is>
      </c>
      <c r="H1" s="1" t="inlineStr">
        <is>
          <t>In Time</t>
        </is>
      </c>
      <c r="I1" s="1" t="inlineStr">
        <is>
          <t>Out Time</t>
        </is>
      </c>
      <c r="J1" s="1" t="inlineStr">
        <is>
          <t>Gap/Loss (min)</t>
        </is>
      </c>
      <c r="K1" s="1" t="inlineStr">
        <is>
          <t>Reason of Gap</t>
        </is>
      </c>
      <c r="L1" s="1" t="inlineStr">
        <is>
          <t>Charge Wt Loss</t>
        </is>
      </c>
      <c r="M1" s="1" t="inlineStr">
        <is>
          <t>Reason of Loss</t>
        </is>
      </c>
      <c r="N1" s="1" t="inlineStr">
        <is>
          <t>Remarks</t>
        </is>
      </c>
      <c r="O1" s="1" t="inlineStr">
        <is>
          <t>Data Check</t>
        </is>
      </c>
      <c r="P1" s="1" t="inlineStr">
        <is>
          <t>Unique Batch (auto - don't edit)</t>
        </is>
      </c>
    </row>
    <row r="2">
      <c r="A2" s="2" t="n">
        <v>46266</v>
      </c>
      <c r="B2" s="3" t="n">
        <v>1</v>
      </c>
      <c r="C2" s="3" t="inlineStr">
        <is>
          <t>26H110</t>
        </is>
      </c>
      <c r="D2" s="3" t="inlineStr">
        <is>
          <t>MS 32009</t>
        </is>
      </c>
      <c r="E2" s="3" t="n">
        <v>260</v>
      </c>
      <c r="F2" s="4" t="n">
        <v>3.04</v>
      </c>
      <c r="G2" s="4" t="n">
        <v>790.4</v>
      </c>
      <c r="H2" s="5" t="n">
        <v>0.4076388888888889</v>
      </c>
      <c r="I2" s="5" t="n">
        <v>0.7361111111111112</v>
      </c>
      <c r="J2" s="3" t="n"/>
      <c r="K2" s="3" t="n"/>
      <c r="L2" s="3" t="n"/>
      <c r="M2" s="3" t="n"/>
      <c r="N2" s="3" t="n"/>
      <c r="O2" s="3" t="inlineStr"/>
      <c r="P2" s="6">
        <f>IF($C2="","",IF(COUNTIF($C$2:$C2,$C2)=1,1,0))</f>
        <v/>
      </c>
    </row>
    <row r="3">
      <c r="A3" s="2" t="n">
        <v>46266</v>
      </c>
      <c r="B3" s="3" t="n">
        <v>1</v>
      </c>
      <c r="C3" s="3" t="inlineStr">
        <is>
          <t>26I554</t>
        </is>
      </c>
      <c r="D3" s="3" t="inlineStr">
        <is>
          <t>MS 22018</t>
        </is>
      </c>
      <c r="E3" s="3" t="n">
        <v>34</v>
      </c>
      <c r="F3" s="4" t="n">
        <v>8.4</v>
      </c>
      <c r="G3" s="4" t="n">
        <v>285.6</v>
      </c>
      <c r="H3" s="5" t="n">
        <v>0.7145833333333333</v>
      </c>
      <c r="I3" s="5" t="n">
        <v>0.25</v>
      </c>
      <c r="J3" s="3" t="n"/>
      <c r="K3" s="3" t="n"/>
      <c r="L3" s="3" t="n"/>
      <c r="M3" s="3" t="n"/>
      <c r="N3" s="3" t="n"/>
      <c r="O3" s="3" t="inlineStr"/>
      <c r="P3" s="6">
        <f>IF($C3="","",IF(COUNTIF($C$2:$C3,$C3)=1,1,0))</f>
        <v/>
      </c>
    </row>
    <row r="4">
      <c r="A4" s="2" t="n">
        <v>46266</v>
      </c>
      <c r="B4" s="3" t="n">
        <v>1</v>
      </c>
      <c r="C4" s="3" t="inlineStr">
        <is>
          <t>26I557</t>
        </is>
      </c>
      <c r="D4" s="3" t="inlineStr">
        <is>
          <t>MS 9064</t>
        </is>
      </c>
      <c r="E4" s="3" t="n">
        <v>150</v>
      </c>
      <c r="F4" s="4" t="n">
        <v>6.92</v>
      </c>
      <c r="G4" s="4" t="n">
        <v>1038</v>
      </c>
      <c r="H4" s="5" t="n">
        <v>0.2243055555555556</v>
      </c>
      <c r="I4" s="5" t="n">
        <v>0.7513888888888889</v>
      </c>
      <c r="J4" s="3" t="n"/>
      <c r="K4" s="3" t="n"/>
      <c r="L4" s="3" t="n"/>
      <c r="M4" s="3" t="n"/>
      <c r="N4" s="3" t="n"/>
      <c r="O4" s="3" t="inlineStr"/>
      <c r="P4" s="6">
        <f>IF($C4="","",IF(COUNTIF($C$2:$C4,$C4)=1,1,0))</f>
        <v/>
      </c>
    </row>
    <row r="5">
      <c r="A5" s="2" t="n">
        <v>46266</v>
      </c>
      <c r="B5" s="3" t="n">
        <v>2</v>
      </c>
      <c r="C5" s="3" t="inlineStr">
        <is>
          <t>26I02</t>
        </is>
      </c>
      <c r="D5" s="3" t="inlineStr">
        <is>
          <t>MS 32009</t>
        </is>
      </c>
      <c r="E5" s="3" t="n">
        <v>260</v>
      </c>
      <c r="F5" s="4" t="n">
        <v>3.04</v>
      </c>
      <c r="G5" s="4" t="n">
        <v>790.4</v>
      </c>
      <c r="H5" s="5" t="n">
        <v>0.4694444444444444</v>
      </c>
      <c r="I5" s="5" t="n">
        <v>0.8208333333333333</v>
      </c>
      <c r="J5" s="3" t="n"/>
      <c r="K5" s="3" t="n"/>
      <c r="L5" s="3" t="n"/>
      <c r="M5" s="3" t="n"/>
      <c r="N5" s="3" t="n"/>
      <c r="O5" s="3" t="inlineStr"/>
      <c r="P5" s="6">
        <f>IF($C5="","",IF(COUNTIF($C$2:$C5,$C5)=1,1,0))</f>
        <v/>
      </c>
    </row>
    <row r="6">
      <c r="A6" s="2" t="n">
        <v>46266</v>
      </c>
      <c r="B6" s="3" t="n">
        <v>2</v>
      </c>
      <c r="C6" s="3" t="inlineStr">
        <is>
          <t>26I03</t>
        </is>
      </c>
      <c r="D6" s="3" t="inlineStr">
        <is>
          <t>MS 32009</t>
        </is>
      </c>
      <c r="E6" s="3" t="n">
        <v>260</v>
      </c>
      <c r="F6" s="4" t="n">
        <v>3.04</v>
      </c>
      <c r="G6" s="4" t="n">
        <v>790.4</v>
      </c>
      <c r="H6" s="5" t="n">
        <v>0.7951388888888888</v>
      </c>
      <c r="I6" s="5" t="n">
        <v>0.1458333333333333</v>
      </c>
      <c r="J6" s="3" t="n"/>
      <c r="K6" s="3" t="n"/>
      <c r="L6" s="3" t="n"/>
      <c r="M6" s="3" t="n"/>
      <c r="N6" s="3" t="n"/>
      <c r="O6" s="3" t="inlineStr"/>
      <c r="P6" s="6">
        <f>IF($C6="","",IF(COUNTIF($C$2:$C6,$C6)=1,1,0))</f>
        <v/>
      </c>
    </row>
    <row r="7">
      <c r="A7" s="2" t="n">
        <v>46266</v>
      </c>
      <c r="B7" s="3" t="n">
        <v>2</v>
      </c>
      <c r="C7" s="3" t="inlineStr">
        <is>
          <t>26I01</t>
        </is>
      </c>
      <c r="D7" s="3" t="inlineStr">
        <is>
          <t>MS 32012</t>
        </is>
      </c>
      <c r="E7" s="3" t="n">
        <v>450</v>
      </c>
      <c r="F7" s="4" t="n">
        <v>2.1</v>
      </c>
      <c r="G7" s="4" t="n">
        <v>945</v>
      </c>
      <c r="H7" s="5" t="n">
        <v>0.1180555555555556</v>
      </c>
      <c r="I7" s="5" t="n">
        <v>0.4722222222222222</v>
      </c>
      <c r="J7" s="3" t="n"/>
      <c r="K7" s="3" t="n"/>
      <c r="L7" s="3" t="n"/>
      <c r="M7" s="3" t="n"/>
      <c r="N7" s="3" t="n"/>
      <c r="O7" s="3" t="inlineStr"/>
      <c r="P7" s="6">
        <f>IF($C7="","",IF(COUNTIF($C$2:$C7,$C7)=1,1,0))</f>
        <v/>
      </c>
    </row>
    <row r="8">
      <c r="A8" s="2" t="n">
        <v>46266</v>
      </c>
      <c r="B8" s="3" t="n">
        <v>3</v>
      </c>
      <c r="C8" s="3" t="inlineStr">
        <is>
          <t>26I552</t>
        </is>
      </c>
      <c r="D8" s="3" t="inlineStr">
        <is>
          <t>B/G 2024</t>
        </is>
      </c>
      <c r="E8" s="3" t="n">
        <v>65</v>
      </c>
      <c r="F8" s="4" t="n">
        <v>16.28</v>
      </c>
      <c r="G8" s="4" t="n">
        <v>1058.2</v>
      </c>
      <c r="H8" s="5" t="n">
        <v>0.3729166666666667</v>
      </c>
      <c r="I8" s="5" t="n">
        <v>0.8090277777777778</v>
      </c>
      <c r="J8" s="3" t="n"/>
      <c r="K8" s="3" t="n"/>
      <c r="L8" s="3" t="n"/>
      <c r="M8" s="3" t="n"/>
      <c r="N8" s="3" t="n"/>
      <c r="O8" s="3" t="inlineStr"/>
      <c r="P8" s="6">
        <f>IF($C8="","",IF(COUNTIF($C$2:$C8,$C8)=1,1,0))</f>
        <v/>
      </c>
    </row>
    <row r="9">
      <c r="A9" s="2" t="n">
        <v>46266</v>
      </c>
      <c r="B9" s="3" t="n">
        <v>3</v>
      </c>
      <c r="C9" s="3" t="inlineStr">
        <is>
          <t>26I556</t>
        </is>
      </c>
      <c r="D9" s="3" t="inlineStr">
        <is>
          <t>B/G 26010</t>
        </is>
      </c>
      <c r="E9" s="3" t="n">
        <v>56</v>
      </c>
      <c r="F9" s="4" t="n">
        <v>18.62</v>
      </c>
      <c r="G9" s="4" t="n">
        <v>1042.72</v>
      </c>
      <c r="H9" s="5" t="n">
        <v>0.7826388888888889</v>
      </c>
      <c r="I9" s="5" t="n">
        <v>0.2326388888888889</v>
      </c>
      <c r="J9" s="3" t="n"/>
      <c r="K9" s="3" t="n"/>
      <c r="L9" s="3" t="n"/>
      <c r="M9" s="3" t="n"/>
      <c r="N9" s="3" t="n"/>
      <c r="O9" s="3" t="inlineStr"/>
      <c r="P9" s="6">
        <f>IF($C9="","",IF(COUNTIF($C$2:$C9,$C9)=1,1,0))</f>
        <v/>
      </c>
    </row>
    <row r="10">
      <c r="A10" s="2" t="n">
        <v>46266</v>
      </c>
      <c r="B10" s="3" t="n">
        <v>3</v>
      </c>
      <c r="C10" s="3" t="inlineStr">
        <is>
          <t>26I558</t>
        </is>
      </c>
      <c r="D10" s="3" t="inlineStr">
        <is>
          <t>B/G 2066</t>
        </is>
      </c>
      <c r="E10" s="3" t="n">
        <v>94</v>
      </c>
      <c r="F10" s="4" t="n">
        <v>10.08</v>
      </c>
      <c r="G10" s="4" t="n">
        <v>947.52</v>
      </c>
      <c r="H10" s="5" t="n">
        <v>0.2069444444444444</v>
      </c>
      <c r="I10" s="5" t="n">
        <v>0.7326388888888888</v>
      </c>
      <c r="J10" s="3" t="n"/>
      <c r="K10" s="3" t="n"/>
      <c r="L10" s="3" t="n"/>
      <c r="M10" s="3" t="n"/>
      <c r="N10" s="3" t="n"/>
      <c r="O10" s="3" t="inlineStr"/>
      <c r="P10" s="6">
        <f>IF($C10="","",IF(COUNTIF($C$2:$C10,$C10)=1,1,0))</f>
        <v/>
      </c>
    </row>
    <row r="11">
      <c r="A11" s="2" t="n">
        <v>46266</v>
      </c>
      <c r="B11" s="3" t="n">
        <v>4</v>
      </c>
      <c r="C11" s="3" t="inlineStr">
        <is>
          <t>26I551</t>
        </is>
      </c>
      <c r="D11" s="3" t="inlineStr">
        <is>
          <t>P0003</t>
        </is>
      </c>
      <c r="E11" s="3" t="n">
        <v>150</v>
      </c>
      <c r="F11" s="4" t="n">
        <v>7</v>
      </c>
      <c r="G11" s="4" t="n">
        <v>1050</v>
      </c>
      <c r="H11" s="5" t="n">
        <v>0.5645833333333333</v>
      </c>
      <c r="I11" s="5" t="n">
        <v>0.9340277777777778</v>
      </c>
      <c r="J11" s="3" t="n"/>
      <c r="K11" s="3" t="n"/>
      <c r="L11" s="3" t="n"/>
      <c r="M11" s="3" t="n"/>
      <c r="N11" s="3" t="n"/>
      <c r="O11" s="3" t="inlineStr"/>
      <c r="P11" s="6">
        <f>IF($C11="","",IF(COUNTIF($C$2:$C11,$C11)=1,1,0))</f>
        <v/>
      </c>
    </row>
    <row r="12">
      <c r="A12" s="2" t="n">
        <v>46266</v>
      </c>
      <c r="B12" s="3" t="n">
        <v>4</v>
      </c>
      <c r="C12" s="3" t="inlineStr">
        <is>
          <t>26I553</t>
        </is>
      </c>
      <c r="D12" s="3" t="inlineStr">
        <is>
          <t>MS 4411</t>
        </is>
      </c>
      <c r="E12" s="3" t="n">
        <v>140</v>
      </c>
      <c r="F12" s="4" t="n">
        <v>8.199999999999999</v>
      </c>
      <c r="G12" s="4" t="n">
        <v>1148</v>
      </c>
      <c r="H12" s="5" t="n">
        <v>0.9055555555555556</v>
      </c>
      <c r="I12" s="5" t="n">
        <v>0.3555555555555556</v>
      </c>
      <c r="J12" s="3" t="n"/>
      <c r="K12" s="3" t="n"/>
      <c r="L12" s="3" t="n"/>
      <c r="M12" s="3" t="n"/>
      <c r="N12" s="3" t="n"/>
      <c r="O12" s="3" t="inlineStr"/>
      <c r="P12" s="6">
        <f>IF($C12="","",IF(COUNTIF($C$2:$C12,$C12)=1,1,0))</f>
        <v/>
      </c>
    </row>
    <row r="13">
      <c r="A13" s="2" t="n">
        <v>46267</v>
      </c>
      <c r="B13" s="3" t="n">
        <v>1</v>
      </c>
      <c r="C13" s="3" t="inlineStr">
        <is>
          <t>26I04</t>
        </is>
      </c>
      <c r="D13" s="3" t="inlineStr">
        <is>
          <t>MS 32009</t>
        </is>
      </c>
      <c r="E13" s="3" t="n">
        <v>260</v>
      </c>
      <c r="F13" s="4" t="n">
        <v>3.04</v>
      </c>
      <c r="G13" s="4" t="n">
        <v>790.4</v>
      </c>
      <c r="H13" s="5" t="n">
        <v>0.7291666666666666</v>
      </c>
      <c r="I13" s="5" t="n">
        <v>0.05555555555555555</v>
      </c>
      <c r="J13" s="3" t="n"/>
      <c r="K13" s="3" t="n"/>
      <c r="L13" s="3" t="n"/>
      <c r="M13" s="3" t="n"/>
      <c r="N13" s="3" t="n"/>
      <c r="O13" s="3" t="inlineStr"/>
      <c r="P13" s="6">
        <f>IF($C13="","",IF(COUNTIF($C$2:$C13,$C13)=1,1,0))</f>
        <v/>
      </c>
    </row>
    <row r="14">
      <c r="A14" s="2" t="n">
        <v>46267</v>
      </c>
      <c r="B14" s="3" t="n">
        <v>1</v>
      </c>
      <c r="C14" s="3" t="inlineStr">
        <is>
          <t>26I563</t>
        </is>
      </c>
      <c r="D14" s="3" t="inlineStr">
        <is>
          <t>MS 9064</t>
        </is>
      </c>
      <c r="E14" s="3" t="n">
        <v>150</v>
      </c>
      <c r="F14" s="4" t="n">
        <v>6.92</v>
      </c>
      <c r="G14" s="4" t="n">
        <v>1038</v>
      </c>
      <c r="H14" s="5" t="n">
        <v>0.02916666666666667</v>
      </c>
      <c r="I14" s="5" t="n">
        <v>0.5555555555555556</v>
      </c>
      <c r="J14" s="3" t="n"/>
      <c r="K14" s="3" t="n"/>
      <c r="L14" s="3" t="n"/>
      <c r="M14" s="3" t="n"/>
      <c r="N14" s="3" t="n"/>
      <c r="O14" s="3" t="inlineStr"/>
      <c r="P14" s="6">
        <f>IF($C14="","",IF(COUNTIF($C$2:$C14,$C14)=1,1,0))</f>
        <v/>
      </c>
    </row>
    <row r="15">
      <c r="A15" s="2" t="n">
        <v>46267</v>
      </c>
      <c r="B15" s="3" t="n">
        <v>2</v>
      </c>
      <c r="C15" s="3" t="inlineStr">
        <is>
          <t>26I560</t>
        </is>
      </c>
      <c r="D15" s="3" t="inlineStr">
        <is>
          <t>MS 22000</t>
        </is>
      </c>
      <c r="E15" s="3" t="n">
        <v>240</v>
      </c>
      <c r="F15" s="4" t="n">
        <v>3.9</v>
      </c>
      <c r="G15" s="4" t="n">
        <v>936</v>
      </c>
      <c r="H15" s="5" t="n">
        <v>0.44375</v>
      </c>
      <c r="I15" s="5" t="n">
        <v>0.8368055555555556</v>
      </c>
      <c r="J15" s="3" t="n"/>
      <c r="K15" s="3" t="n"/>
      <c r="L15" s="3" t="n"/>
      <c r="M15" s="3" t="n"/>
      <c r="N15" s="3" t="n"/>
      <c r="O15" s="3" t="inlineStr"/>
      <c r="P15" s="6">
        <f>IF($C15="","",IF(COUNTIF($C$2:$C15,$C15)=1,1,0))</f>
        <v/>
      </c>
    </row>
    <row r="16">
      <c r="A16" s="2" t="n">
        <v>46267</v>
      </c>
      <c r="B16" s="3" t="n">
        <v>2</v>
      </c>
      <c r="C16" s="3" t="inlineStr">
        <is>
          <t>26I555</t>
        </is>
      </c>
      <c r="D16" s="3" t="inlineStr">
        <is>
          <t>B/G 18000</t>
        </is>
      </c>
      <c r="E16" s="3" t="n">
        <v>70</v>
      </c>
      <c r="F16" s="4" t="n">
        <v>15.38</v>
      </c>
      <c r="G16" s="4" t="n">
        <v>1076.6</v>
      </c>
      <c r="H16" s="5" t="n">
        <v>0.8145833333333333</v>
      </c>
      <c r="I16" s="5" t="n">
        <v>0.3715277777777778</v>
      </c>
      <c r="J16" s="3" t="n"/>
      <c r="K16" s="3" t="n"/>
      <c r="L16" s="3" t="n"/>
      <c r="M16" s="3" t="n"/>
      <c r="N16" s="3" t="n"/>
      <c r="O16" s="3" t="inlineStr"/>
      <c r="P16" s="6">
        <f>IF($C16="","",IF(COUNTIF($C$2:$C16,$C16)=1,1,0))</f>
        <v/>
      </c>
    </row>
    <row r="17">
      <c r="A17" s="2" t="n">
        <v>46267</v>
      </c>
      <c r="B17" s="3" t="n">
        <v>3</v>
      </c>
      <c r="C17" s="3" t="inlineStr">
        <is>
          <t>26I562</t>
        </is>
      </c>
      <c r="D17" s="3" t="inlineStr">
        <is>
          <t>MS 4411</t>
        </is>
      </c>
      <c r="E17" s="3" t="n">
        <v>135</v>
      </c>
      <c r="F17" s="4" t="n">
        <v>8.199999999999999</v>
      </c>
      <c r="G17" s="4" t="n">
        <v>1107</v>
      </c>
      <c r="H17" s="5" t="n">
        <v>0.7006944444444444</v>
      </c>
      <c r="I17" s="5" t="n">
        <v>0.1944444444444444</v>
      </c>
      <c r="J17" s="3" t="n"/>
      <c r="K17" s="3" t="n"/>
      <c r="L17" s="3" t="n"/>
      <c r="M17" s="3" t="n"/>
      <c r="N17" s="3" t="n"/>
      <c r="O17" s="3" t="inlineStr"/>
      <c r="P17" s="6">
        <f>IF($C17="","",IF(COUNTIF($C$2:$C17,$C17)=1,1,0))</f>
        <v/>
      </c>
    </row>
    <row r="18">
      <c r="A18" s="2" t="n">
        <v>46267</v>
      </c>
      <c r="B18" s="3" t="n">
        <v>3</v>
      </c>
      <c r="C18" s="3" t="inlineStr">
        <is>
          <t>26I564</t>
        </is>
      </c>
      <c r="D18" s="3" t="inlineStr">
        <is>
          <t>MS 21015</t>
        </is>
      </c>
      <c r="E18" s="3" t="n">
        <v>150</v>
      </c>
      <c r="F18" s="4" t="n">
        <v>4.72</v>
      </c>
      <c r="G18" s="4" t="n">
        <v>708</v>
      </c>
      <c r="H18" s="5" t="n">
        <v>0.1666666666666667</v>
      </c>
      <c r="I18" s="5" t="n">
        <v>0.6347222222222222</v>
      </c>
      <c r="J18" s="3" t="n"/>
      <c r="K18" s="3" t="n"/>
      <c r="L18" s="3" t="n"/>
      <c r="M18" s="3" t="n"/>
      <c r="N18" s="3" t="n"/>
      <c r="O18" s="3" t="inlineStr"/>
      <c r="P18" s="6">
        <f>IF($C18="","",IF(COUNTIF($C$2:$C18,$C18)=1,1,0))</f>
        <v/>
      </c>
    </row>
    <row r="19">
      <c r="A19" s="2" t="n">
        <v>46267</v>
      </c>
      <c r="B19" s="3" t="n">
        <v>4</v>
      </c>
      <c r="C19" s="3" t="inlineStr">
        <is>
          <t>26I559</t>
        </is>
      </c>
      <c r="D19" s="3" t="inlineStr">
        <is>
          <t>MS 4509</t>
        </is>
      </c>
      <c r="E19" s="3" t="n">
        <v>110</v>
      </c>
      <c r="F19" s="4" t="n">
        <v>8.119999999999999</v>
      </c>
      <c r="G19" s="4" t="n">
        <v>893.2</v>
      </c>
      <c r="H19" s="5" t="n">
        <v>0.3243055555555556</v>
      </c>
      <c r="I19" s="5" t="n">
        <v>0.7291666666666666</v>
      </c>
      <c r="J19" s="3" t="n"/>
      <c r="K19" s="3" t="n"/>
      <c r="L19" s="3" t="n"/>
      <c r="M19" s="3" t="n"/>
      <c r="N19" s="3" t="n"/>
      <c r="O19" s="3" t="inlineStr"/>
      <c r="P19" s="6">
        <f>IF($C19="","",IF(COUNTIF($C$2:$C19,$C19)=1,1,0))</f>
        <v/>
      </c>
    </row>
    <row r="20">
      <c r="A20" s="2" t="n">
        <v>46267</v>
      </c>
      <c r="B20" s="3" t="n">
        <v>4</v>
      </c>
      <c r="C20" s="3" t="inlineStr">
        <is>
          <t>26I561</t>
        </is>
      </c>
      <c r="D20" s="3" t="inlineStr">
        <is>
          <t>MS 23015</t>
        </is>
      </c>
      <c r="E20" s="3" t="n">
        <v>1254</v>
      </c>
      <c r="F20" s="4" t="n">
        <v>0.3</v>
      </c>
      <c r="G20" s="4" t="n">
        <v>376.2</v>
      </c>
      <c r="H20" s="5" t="n">
        <v>0.7104166666666667</v>
      </c>
      <c r="I20" s="5" t="n">
        <v>0.2118055555555556</v>
      </c>
      <c r="J20" s="3" t="n"/>
      <c r="K20" s="3" t="n"/>
      <c r="L20" s="3" t="n"/>
      <c r="M20" s="3" t="n"/>
      <c r="N20" s="3" t="n"/>
      <c r="O20" s="3" t="inlineStr"/>
      <c r="P20" s="6">
        <f>IF($C20="","",IF(COUNTIF($C$2:$C20,$C20)=1,1,0))</f>
        <v/>
      </c>
    </row>
    <row r="21">
      <c r="A21" s="2" t="n">
        <v>46267</v>
      </c>
      <c r="B21" s="3" t="n">
        <v>4</v>
      </c>
      <c r="C21" s="3" t="inlineStr">
        <is>
          <t>26I561</t>
        </is>
      </c>
      <c r="D21" s="3" t="inlineStr">
        <is>
          <t>MS 23022</t>
        </is>
      </c>
      <c r="E21" s="3" t="n">
        <v>5</v>
      </c>
      <c r="F21" s="4" t="n">
        <v>0.82</v>
      </c>
      <c r="G21" s="4" t="n">
        <v>4.1</v>
      </c>
      <c r="H21" s="5" t="n">
        <v>0.7104166666666667</v>
      </c>
      <c r="I21" s="5" t="n">
        <v>0.2118055555555556</v>
      </c>
      <c r="J21" s="3" t="n"/>
      <c r="K21" s="3" t="n"/>
      <c r="L21" s="3" t="n"/>
      <c r="M21" s="3" t="n"/>
      <c r="N21" s="3" t="n"/>
      <c r="O21" s="3" t="inlineStr"/>
      <c r="P21" s="6">
        <f>IF($C21="","",IF(COUNTIF($C$2:$C21,$C21)=1,1,0))</f>
        <v/>
      </c>
    </row>
    <row r="22">
      <c r="A22" s="2" t="n">
        <v>46267</v>
      </c>
      <c r="B22" s="3" t="n">
        <v>4</v>
      </c>
      <c r="C22" s="3" t="inlineStr">
        <is>
          <t>26I561</t>
        </is>
      </c>
      <c r="D22" s="3" t="inlineStr">
        <is>
          <t>MS 23028</t>
        </is>
      </c>
      <c r="E22" s="3" t="n">
        <v>5</v>
      </c>
      <c r="F22" s="4" t="n">
        <v>0.82</v>
      </c>
      <c r="G22" s="4" t="n">
        <v>4.1</v>
      </c>
      <c r="H22" s="5" t="n">
        <v>0.7104166666666667</v>
      </c>
      <c r="I22" s="5" t="n">
        <v>0.2118055555555556</v>
      </c>
      <c r="J22" s="3" t="n"/>
      <c r="K22" s="3" t="n"/>
      <c r="L22" s="3" t="n"/>
      <c r="M22" s="3" t="n"/>
      <c r="N22" s="3" t="n"/>
      <c r="O22" s="3" t="inlineStr"/>
      <c r="P22" s="6">
        <f>IF($C22="","",IF(COUNTIF($C$2:$C22,$C22)=1,1,0))</f>
        <v/>
      </c>
    </row>
    <row r="23">
      <c r="A23" s="2" t="n">
        <v>46267</v>
      </c>
      <c r="B23" s="3" t="n">
        <v>4</v>
      </c>
      <c r="C23" s="3" t="inlineStr">
        <is>
          <t>26I561</t>
        </is>
      </c>
      <c r="D23" s="3" t="inlineStr">
        <is>
          <t>MS 3003</t>
        </is>
      </c>
      <c r="E23" s="3" t="n">
        <v>320</v>
      </c>
      <c r="F23" s="4" t="n">
        <v>1.2</v>
      </c>
      <c r="G23" s="4" t="n">
        <v>384</v>
      </c>
      <c r="H23" s="5" t="n">
        <v>0.7104166666666667</v>
      </c>
      <c r="I23" s="5" t="n">
        <v>0.2118055555555556</v>
      </c>
      <c r="J23" s="3" t="n"/>
      <c r="K23" s="3" t="n"/>
      <c r="L23" s="3" t="n"/>
      <c r="M23" s="3" t="n"/>
      <c r="N23" s="3" t="n"/>
      <c r="O23" s="3" t="inlineStr"/>
      <c r="P23" s="6">
        <f>IF($C23="","",IF(COUNTIF($C$2:$C23,$C23)=1,1,0))</f>
        <v/>
      </c>
    </row>
    <row r="24">
      <c r="A24" s="2" t="n">
        <v>46267</v>
      </c>
      <c r="B24" s="3" t="n">
        <v>4</v>
      </c>
      <c r="C24" s="3" t="inlineStr">
        <is>
          <t>26I561</t>
        </is>
      </c>
      <c r="D24" s="3" t="inlineStr">
        <is>
          <t>MS 4487</t>
        </is>
      </c>
      <c r="E24" s="3" t="n">
        <v>81</v>
      </c>
      <c r="F24" s="4" t="n">
        <v>1.27</v>
      </c>
      <c r="G24" s="4" t="n">
        <v>102.87</v>
      </c>
      <c r="H24" s="5" t="n">
        <v>0.7104166666666667</v>
      </c>
      <c r="I24" s="5" t="n">
        <v>0.2118055555555556</v>
      </c>
      <c r="J24" s="3" t="n"/>
      <c r="K24" s="3" t="n"/>
      <c r="L24" s="3" t="n"/>
      <c r="M24" s="3" t="n"/>
      <c r="N24" s="3" t="n"/>
      <c r="O24" s="3" t="inlineStr"/>
      <c r="P24" s="6">
        <f>IF($C24="","",IF(COUNTIF($C$2:$C24,$C24)=1,1,0))</f>
        <v/>
      </c>
    </row>
    <row r="25">
      <c r="A25" s="2" t="n">
        <v>46267</v>
      </c>
      <c r="B25" s="3" t="n">
        <v>4</v>
      </c>
      <c r="C25" s="3" t="inlineStr">
        <is>
          <t>26I565</t>
        </is>
      </c>
      <c r="D25" s="3" t="inlineStr">
        <is>
          <t>B/G 26010</t>
        </is>
      </c>
      <c r="E25" s="3" t="n">
        <v>51</v>
      </c>
      <c r="F25" s="4" t="n">
        <v>18.62</v>
      </c>
      <c r="G25" s="4" t="n">
        <v>949.62</v>
      </c>
      <c r="H25" s="5" t="n">
        <v>0.1826388888888889</v>
      </c>
      <c r="I25" s="5" t="n">
        <v>0.6493055555555556</v>
      </c>
      <c r="J25" s="3" t="n"/>
      <c r="K25" s="3" t="n"/>
      <c r="L25" s="3" t="n"/>
      <c r="M25" s="3" t="n"/>
      <c r="N25" s="3" t="n"/>
      <c r="O25" s="3" t="inlineStr"/>
      <c r="P25" s="6">
        <f>IF($C25="","",IF(COUNTIF($C$2:$C25,$C25)=1,1,0))</f>
        <v/>
      </c>
    </row>
    <row r="26">
      <c r="A26" s="2" t="n">
        <v>46268</v>
      </c>
      <c r="B26" s="3" t="n">
        <v>1</v>
      </c>
      <c r="C26" s="3" t="inlineStr">
        <is>
          <t>26I06</t>
        </is>
      </c>
      <c r="D26" s="3" t="inlineStr">
        <is>
          <t>MS 32009</t>
        </is>
      </c>
      <c r="E26" s="3" t="n">
        <v>260</v>
      </c>
      <c r="F26" s="4" t="n">
        <v>3.04</v>
      </c>
      <c r="G26" s="4" t="n">
        <v>790.4</v>
      </c>
      <c r="H26" s="5" t="n">
        <v>0.5180555555555556</v>
      </c>
      <c r="I26" s="5" t="n">
        <v>0.8541666666666666</v>
      </c>
      <c r="J26" s="3" t="n"/>
      <c r="K26" s="3" t="n"/>
      <c r="L26" s="3" t="n"/>
      <c r="M26" s="3" t="n"/>
      <c r="N26" s="3" t="n"/>
      <c r="O26" s="3" t="inlineStr"/>
      <c r="P26" s="6">
        <f>IF($C26="","",IF(COUNTIF($C$2:$C26,$C26)=1,1,0))</f>
        <v/>
      </c>
    </row>
    <row r="27">
      <c r="A27" s="2" t="n">
        <v>46268</v>
      </c>
      <c r="B27" s="3" t="n">
        <v>1</v>
      </c>
      <c r="C27" s="3" t="inlineStr">
        <is>
          <t>26I08</t>
        </is>
      </c>
      <c r="D27" s="3" t="inlineStr">
        <is>
          <t>MS 32012</t>
        </is>
      </c>
      <c r="E27" s="3" t="n">
        <v>450</v>
      </c>
      <c r="F27" s="4" t="n">
        <v>2.1</v>
      </c>
      <c r="G27" s="4" t="n">
        <v>945</v>
      </c>
      <c r="H27" s="5" t="n">
        <v>0.8263888888888888</v>
      </c>
      <c r="I27" s="5" t="n">
        <v>0.1736111111111111</v>
      </c>
      <c r="J27" s="3" t="n"/>
      <c r="K27" s="3" t="n"/>
      <c r="L27" s="3" t="n"/>
      <c r="M27" s="3" t="n"/>
      <c r="N27" s="3" t="n"/>
      <c r="O27" s="3" t="inlineStr"/>
      <c r="P27" s="6">
        <f>IF($C27="","",IF(COUNTIF($C$2:$C27,$C27)=1,1,0))</f>
        <v/>
      </c>
    </row>
    <row r="28">
      <c r="A28" s="2" t="n">
        <v>46268</v>
      </c>
      <c r="B28" s="3" t="n">
        <v>1</v>
      </c>
      <c r="C28" s="3" t="inlineStr">
        <is>
          <t>26I09</t>
        </is>
      </c>
      <c r="D28" s="3" t="inlineStr">
        <is>
          <t>MS 32009</t>
        </is>
      </c>
      <c r="E28" s="3" t="n">
        <v>260</v>
      </c>
      <c r="F28" s="4" t="n">
        <v>3.04</v>
      </c>
      <c r="G28" s="4" t="n">
        <v>790.4</v>
      </c>
      <c r="H28" s="5" t="n">
        <v>0.1458333333333333</v>
      </c>
      <c r="I28" s="5" t="n">
        <v>0.4708333333333333</v>
      </c>
      <c r="J28" s="3" t="n"/>
      <c r="K28" s="3" t="n"/>
      <c r="L28" s="3" t="n"/>
      <c r="M28" s="3" t="n"/>
      <c r="N28" s="3" t="n"/>
      <c r="O28" s="3" t="inlineStr"/>
      <c r="P28" s="6">
        <f>IF($C28="","",IF(COUNTIF($C$2:$C28,$C28)=1,1,0))</f>
        <v/>
      </c>
    </row>
    <row r="29">
      <c r="A29" s="2" t="n">
        <v>46268</v>
      </c>
      <c r="B29" s="3" t="n">
        <v>2</v>
      </c>
      <c r="C29" s="3" t="inlineStr">
        <is>
          <t>26I05</t>
        </is>
      </c>
      <c r="D29" s="3" t="inlineStr">
        <is>
          <t>MS 32012</t>
        </is>
      </c>
      <c r="E29" s="3" t="n">
        <v>450</v>
      </c>
      <c r="F29" s="4" t="n">
        <v>2.1</v>
      </c>
      <c r="G29" s="4" t="n">
        <v>945</v>
      </c>
      <c r="H29" s="5" t="n">
        <v>0.3236111111111111</v>
      </c>
      <c r="I29" s="5" t="n">
        <v>0.6861111111111111</v>
      </c>
      <c r="J29" s="3" t="n"/>
      <c r="K29" s="3" t="n"/>
      <c r="L29" s="3" t="n"/>
      <c r="M29" s="3" t="n"/>
      <c r="N29" s="3" t="n"/>
      <c r="O29" s="3" t="inlineStr"/>
      <c r="P29" s="6">
        <f>IF($C29="","",IF(COUNTIF($C$2:$C29,$C29)=1,1,0))</f>
        <v/>
      </c>
    </row>
    <row r="30">
      <c r="A30" s="2" t="n">
        <v>46268</v>
      </c>
      <c r="B30" s="3" t="n">
        <v>2</v>
      </c>
      <c r="C30" s="3" t="inlineStr">
        <is>
          <t>26I07</t>
        </is>
      </c>
      <c r="D30" s="3" t="inlineStr">
        <is>
          <t>MS 32009</t>
        </is>
      </c>
      <c r="E30" s="3" t="n">
        <v>260</v>
      </c>
      <c r="F30" s="4" t="n">
        <v>3.04</v>
      </c>
      <c r="G30" s="4" t="n">
        <v>790.4</v>
      </c>
      <c r="H30" s="5" t="n">
        <v>0.6597222222222222</v>
      </c>
      <c r="I30" s="5" t="n">
        <v>0.01388888888888889</v>
      </c>
      <c r="J30" s="3" t="n"/>
      <c r="K30" s="3" t="n"/>
      <c r="L30" s="3" t="n"/>
      <c r="M30" s="3" t="n"/>
      <c r="N30" s="3" t="n"/>
      <c r="O30" s="3" t="inlineStr"/>
      <c r="P30" s="6">
        <f>IF($C30="","",IF(COUNTIF($C$2:$C30,$C30)=1,1,0))</f>
        <v/>
      </c>
    </row>
    <row r="31">
      <c r="A31" s="2" t="n">
        <v>46268</v>
      </c>
      <c r="B31" s="3" t="n">
        <v>2</v>
      </c>
      <c r="C31" s="3" t="inlineStr">
        <is>
          <t>26I570</t>
        </is>
      </c>
      <c r="D31" s="3" t="inlineStr">
        <is>
          <t>MS 22000</t>
        </is>
      </c>
      <c r="E31" s="3" t="n">
        <v>210</v>
      </c>
      <c r="F31" s="4" t="n">
        <v>3.9</v>
      </c>
      <c r="G31" s="4" t="n">
        <v>819</v>
      </c>
      <c r="H31" s="5" t="n">
        <v>0.9875</v>
      </c>
      <c r="I31" s="5" t="n">
        <v>0.3715277777777778</v>
      </c>
      <c r="J31" s="3" t="n"/>
      <c r="K31" s="3" t="n"/>
      <c r="L31" s="3" t="n"/>
      <c r="M31" s="3" t="n"/>
      <c r="N31" s="3" t="n"/>
      <c r="O31" s="3" t="inlineStr"/>
      <c r="P31" s="6">
        <f>IF($C31="","",IF(COUNTIF($C$2:$C31,$C31)=1,1,0))</f>
        <v/>
      </c>
    </row>
    <row r="32">
      <c r="A32" s="2" t="n">
        <v>46268</v>
      </c>
      <c r="B32" s="3" t="n">
        <v>3</v>
      </c>
      <c r="C32" s="3" t="inlineStr">
        <is>
          <t>26I562</t>
        </is>
      </c>
      <c r="D32" s="3" t="inlineStr">
        <is>
          <t>MS 4411</t>
        </is>
      </c>
      <c r="E32" s="3" t="n">
        <v>17</v>
      </c>
      <c r="F32" s="4" t="n">
        <v>8.199999999999999</v>
      </c>
      <c r="G32" s="4" t="n">
        <v>139.4</v>
      </c>
      <c r="H32" s="5" t="n">
        <v>0.6069444444444444</v>
      </c>
      <c r="I32" s="5" t="n">
        <v>0.05902777777777778</v>
      </c>
      <c r="J32" s="3" t="n"/>
      <c r="K32" s="3" t="n"/>
      <c r="L32" s="3" t="n"/>
      <c r="M32" s="3" t="n"/>
      <c r="N32" s="3" t="n"/>
      <c r="O32" s="3" t="inlineStr"/>
      <c r="P32" s="6">
        <f>IF($C32="","",IF(COUNTIF($C$2:$C32,$C32)=1,1,0))</f>
        <v/>
      </c>
    </row>
    <row r="33">
      <c r="A33" s="2" t="n">
        <v>46268</v>
      </c>
      <c r="B33" s="3" t="n">
        <v>3</v>
      </c>
      <c r="C33" s="3" t="inlineStr">
        <is>
          <t>26I562</t>
        </is>
      </c>
      <c r="D33" s="3" t="inlineStr">
        <is>
          <t>MS 4412</t>
        </is>
      </c>
      <c r="E33" s="3" t="n">
        <v>119</v>
      </c>
      <c r="F33" s="4" t="n">
        <v>8.279999999999999</v>
      </c>
      <c r="G33" s="4" t="n">
        <v>985.3200000000001</v>
      </c>
      <c r="H33" s="5" t="n">
        <v>0.6069444444444444</v>
      </c>
      <c r="I33" s="5" t="n">
        <v>0.05902777777777778</v>
      </c>
      <c r="J33" s="3" t="n"/>
      <c r="K33" s="3" t="n"/>
      <c r="L33" s="3" t="n"/>
      <c r="M33" s="3" t="n"/>
      <c r="N33" s="3" t="n"/>
      <c r="O33" s="3" t="inlineStr"/>
      <c r="P33" s="6">
        <f>IF($C33="","",IF(COUNTIF($C$2:$C33,$C33)=1,1,0))</f>
        <v/>
      </c>
    </row>
    <row r="34">
      <c r="A34" s="2" t="n">
        <v>46268</v>
      </c>
      <c r="B34" s="3" t="n">
        <v>3</v>
      </c>
      <c r="C34" s="3" t="inlineStr">
        <is>
          <t>26I569</t>
        </is>
      </c>
      <c r="D34" s="3" t="inlineStr">
        <is>
          <t>MS 29017</t>
        </is>
      </c>
      <c r="E34" s="3" t="n">
        <v>838</v>
      </c>
      <c r="F34" s="4" t="n">
        <v>0.8100000000000001</v>
      </c>
      <c r="G34" s="4" t="n">
        <v>678.78</v>
      </c>
      <c r="H34" s="5" t="n">
        <v>0.03263888888888889</v>
      </c>
      <c r="I34" s="5" t="n">
        <v>0.6375</v>
      </c>
      <c r="J34" s="3" t="n"/>
      <c r="K34" s="3" t="n"/>
      <c r="L34" s="3" t="n"/>
      <c r="M34" s="3" t="n"/>
      <c r="N34" s="3" t="n"/>
      <c r="O34" s="3" t="inlineStr"/>
      <c r="P34" s="6">
        <f>IF($C34="","",IF(COUNTIF($C$2:$C34,$C34)=1,1,0))</f>
        <v/>
      </c>
    </row>
    <row r="35">
      <c r="A35" s="2" t="n">
        <v>46268</v>
      </c>
      <c r="B35" s="3" t="n">
        <v>3</v>
      </c>
      <c r="C35" s="3" t="inlineStr">
        <is>
          <t>26I569</t>
        </is>
      </c>
      <c r="D35" s="3" t="inlineStr">
        <is>
          <t>MS 4524</t>
        </is>
      </c>
      <c r="E35" s="3" t="n">
        <v>80</v>
      </c>
      <c r="F35" s="4" t="n">
        <v>4</v>
      </c>
      <c r="G35" s="4" t="n">
        <v>320</v>
      </c>
      <c r="H35" s="5" t="n">
        <v>0.03263888888888889</v>
      </c>
      <c r="I35" s="5" t="n">
        <v>0.6375</v>
      </c>
      <c r="J35" s="3" t="n"/>
      <c r="K35" s="3" t="n"/>
      <c r="L35" s="3" t="n"/>
      <c r="M35" s="3" t="n"/>
      <c r="N35" s="3" t="n"/>
      <c r="O35" s="3" t="inlineStr"/>
      <c r="P35" s="6">
        <f>IF($C35="","",IF(COUNTIF($C$2:$C35,$C35)=1,1,0))</f>
        <v/>
      </c>
    </row>
    <row r="36">
      <c r="A36" s="2" t="n">
        <v>46268</v>
      </c>
      <c r="B36" s="3" t="n">
        <v>4</v>
      </c>
      <c r="C36" s="3" t="inlineStr">
        <is>
          <t>26I566</t>
        </is>
      </c>
      <c r="D36" s="3" t="inlineStr">
        <is>
          <t>P0003</t>
        </is>
      </c>
      <c r="E36" s="3" t="n">
        <v>84</v>
      </c>
      <c r="F36" s="4" t="n">
        <v>7</v>
      </c>
      <c r="G36" s="4" t="n">
        <v>588</v>
      </c>
      <c r="H36" s="5" t="n">
        <v>0.6166666666666667</v>
      </c>
      <c r="I36" s="5" t="n">
        <v>0.9513888888888888</v>
      </c>
      <c r="J36" s="3" t="n"/>
      <c r="K36" s="3" t="n"/>
      <c r="L36" s="3" t="n"/>
      <c r="M36" s="3" t="n"/>
      <c r="N36" s="3" t="n"/>
      <c r="O36" s="3" t="inlineStr"/>
      <c r="P36" s="6">
        <f>IF($C36="","",IF(COUNTIF($C$2:$C36,$C36)=1,1,0))</f>
        <v/>
      </c>
    </row>
    <row r="37">
      <c r="A37" s="2" t="n">
        <v>46268</v>
      </c>
      <c r="B37" s="3" t="n">
        <v>4</v>
      </c>
      <c r="C37" s="3" t="inlineStr">
        <is>
          <t>26I571</t>
        </is>
      </c>
      <c r="D37" s="3" t="inlineStr">
        <is>
          <t>MS 9067</t>
        </is>
      </c>
      <c r="E37" s="3" t="n">
        <v>555</v>
      </c>
      <c r="F37" s="4" t="n">
        <v>1.92</v>
      </c>
      <c r="G37" s="4" t="n">
        <v>1065.6</v>
      </c>
      <c r="H37" s="5" t="n">
        <v>0.9256944444444445</v>
      </c>
      <c r="I37" s="5" t="n">
        <v>0.4131944444444444</v>
      </c>
      <c r="J37" s="3" t="n"/>
      <c r="K37" s="3" t="n"/>
      <c r="L37" s="3" t="n"/>
      <c r="M37" s="3" t="n"/>
      <c r="N37" s="3" t="n"/>
      <c r="O37" s="3" t="inlineStr"/>
      <c r="P37" s="6">
        <f>IF($C37="","",IF(COUNTIF($C$2:$C37,$C37)=1,1,0))</f>
        <v/>
      </c>
    </row>
    <row r="38">
      <c r="A38" s="2" t="n">
        <v>46269</v>
      </c>
      <c r="B38" s="3" t="n">
        <v>1</v>
      </c>
      <c r="C38" s="3" t="inlineStr">
        <is>
          <t>26I10</t>
        </is>
      </c>
      <c r="D38" s="3" t="inlineStr">
        <is>
          <t>MS 32012</t>
        </is>
      </c>
      <c r="E38" s="3" t="n">
        <v>450</v>
      </c>
      <c r="F38" s="4" t="n">
        <v>2.1</v>
      </c>
      <c r="G38" s="4" t="n">
        <v>945</v>
      </c>
      <c r="H38" s="5" t="n">
        <v>0.09444444444444444</v>
      </c>
      <c r="I38" s="5" t="n">
        <v>0.4583333333333333</v>
      </c>
      <c r="J38" s="3" t="n"/>
      <c r="K38" s="3" t="n"/>
      <c r="L38" s="3" t="n"/>
      <c r="M38" s="3" t="n"/>
      <c r="N38" s="3" t="n"/>
      <c r="O38" s="3" t="inlineStr"/>
      <c r="P38" s="6">
        <f>IF($C38="","",IF(COUNTIF($C$2:$C38,$C38)=1,1,0))</f>
        <v/>
      </c>
    </row>
    <row r="39">
      <c r="A39" s="2" t="n">
        <v>46269</v>
      </c>
      <c r="B39" s="3" t="n">
        <v>2</v>
      </c>
      <c r="C39" s="3" t="inlineStr">
        <is>
          <t>26I11</t>
        </is>
      </c>
      <c r="D39" s="3" t="inlineStr">
        <is>
          <t>MS 32009</t>
        </is>
      </c>
      <c r="E39" s="3" t="n">
        <v>260</v>
      </c>
      <c r="F39" s="4" t="n">
        <v>3.04</v>
      </c>
      <c r="G39" s="4" t="n">
        <v>790.4</v>
      </c>
      <c r="H39" s="5" t="n">
        <v>0.8680555555555556</v>
      </c>
      <c r="I39" s="5" t="n">
        <v>0.2222222222222222</v>
      </c>
      <c r="J39" s="3" t="n"/>
      <c r="K39" s="3" t="n"/>
      <c r="L39" s="3" t="n"/>
      <c r="M39" s="3" t="n"/>
      <c r="N39" s="3" t="n"/>
      <c r="O39" s="3" t="inlineStr"/>
      <c r="P39" s="6">
        <f>IF($C39="","",IF(COUNTIF($C$2:$C39,$C39)=1,1,0))</f>
        <v/>
      </c>
    </row>
    <row r="40">
      <c r="A40" s="2" t="n">
        <v>46269</v>
      </c>
      <c r="B40" s="3" t="n">
        <v>2</v>
      </c>
      <c r="C40" s="3" t="inlineStr">
        <is>
          <t>26I580</t>
        </is>
      </c>
      <c r="D40" s="3" t="inlineStr">
        <is>
          <t>B/G 18000</t>
        </is>
      </c>
      <c r="E40" s="3" t="n">
        <v>70</v>
      </c>
      <c r="F40" s="4" t="n">
        <v>15.38</v>
      </c>
      <c r="G40" s="4" t="n">
        <v>1076.6</v>
      </c>
      <c r="H40" s="5" t="n">
        <v>0.1944444444444444</v>
      </c>
      <c r="I40" s="5" t="n">
        <v>0.7326388888888888</v>
      </c>
      <c r="J40" s="3" t="n"/>
      <c r="K40" s="3" t="n"/>
      <c r="L40" s="3" t="n"/>
      <c r="M40" s="3" t="n"/>
      <c r="N40" s="3" t="n"/>
      <c r="O40" s="3" t="inlineStr"/>
      <c r="P40" s="6">
        <f>IF($C40="","",IF(COUNTIF($C$2:$C40,$C40)=1,1,0))</f>
        <v/>
      </c>
    </row>
    <row r="41">
      <c r="A41" s="2" t="n">
        <v>46269</v>
      </c>
      <c r="B41" s="3" t="n">
        <v>3</v>
      </c>
      <c r="C41" s="3" t="inlineStr">
        <is>
          <t>26I573</t>
        </is>
      </c>
      <c r="D41" s="3" t="inlineStr">
        <is>
          <t>MS 4412</t>
        </is>
      </c>
      <c r="E41" s="3" t="n">
        <v>136</v>
      </c>
      <c r="F41" s="4" t="n">
        <v>8.279999999999999</v>
      </c>
      <c r="G41" s="4" t="n">
        <v>1126.08</v>
      </c>
      <c r="H41" s="5" t="n">
        <v>0.6722222222222223</v>
      </c>
      <c r="I41" s="5" t="n">
        <v>0.03888888888888889</v>
      </c>
      <c r="J41" s="3" t="n"/>
      <c r="K41" s="3" t="n"/>
      <c r="L41" s="3" t="n"/>
      <c r="M41" s="3" t="n"/>
      <c r="N41" s="3" t="n"/>
      <c r="O41" s="3" t="inlineStr"/>
      <c r="P41" s="6">
        <f>IF($C41="","",IF(COUNTIF($C$2:$C41,$C41)=1,1,0))</f>
        <v/>
      </c>
    </row>
    <row r="42">
      <c r="A42" s="2" t="n">
        <v>46269</v>
      </c>
      <c r="B42" s="3" t="n">
        <v>3</v>
      </c>
      <c r="C42" s="3" t="inlineStr">
        <is>
          <t>26I578</t>
        </is>
      </c>
      <c r="D42" s="3" t="inlineStr">
        <is>
          <t>B/G 2066</t>
        </is>
      </c>
      <c r="E42" s="3" t="n">
        <v>96</v>
      </c>
      <c r="F42" s="4" t="n">
        <v>10.08</v>
      </c>
      <c r="G42" s="4" t="n">
        <v>967.6799999999999</v>
      </c>
      <c r="H42" s="5" t="n">
        <v>0.0125</v>
      </c>
      <c r="I42" s="5" t="n">
        <v>0.5277777777777778</v>
      </c>
      <c r="J42" s="3" t="n"/>
      <c r="K42" s="3" t="n"/>
      <c r="L42" s="3" t="n"/>
      <c r="M42" s="3" t="n"/>
      <c r="N42" s="3" t="n"/>
      <c r="O42" s="3" t="inlineStr"/>
      <c r="P42" s="6">
        <f>IF($C42="","",IF(COUNTIF($C$2:$C42,$C42)=1,1,0))</f>
        <v/>
      </c>
    </row>
    <row r="43">
      <c r="A43" s="2" t="n">
        <v>46269</v>
      </c>
      <c r="B43" s="3" t="n">
        <v>4</v>
      </c>
      <c r="C43" s="3" t="inlineStr">
        <is>
          <t>26I572</t>
        </is>
      </c>
      <c r="D43" s="3" t="inlineStr">
        <is>
          <t>MS 4529</t>
        </is>
      </c>
      <c r="E43" s="3" t="n">
        <v>223</v>
      </c>
      <c r="F43" s="4" t="n">
        <v>2.52</v>
      </c>
      <c r="G43" s="4" t="n">
        <v>561.96</v>
      </c>
      <c r="H43" s="5" t="n">
        <v>0.3833333333333334</v>
      </c>
      <c r="I43" s="5" t="n">
        <v>0.7638888888888888</v>
      </c>
      <c r="J43" s="3" t="n"/>
      <c r="K43" s="3" t="n"/>
      <c r="L43" s="3" t="n"/>
      <c r="M43" s="3" t="n"/>
      <c r="N43" s="3" t="n"/>
      <c r="O43" s="3" t="inlineStr"/>
      <c r="P43" s="6">
        <f>IF($C43="","",IF(COUNTIF($C$2:$C43,$C43)=1,1,0))</f>
        <v/>
      </c>
    </row>
    <row r="44">
      <c r="A44" s="2" t="n">
        <v>46269</v>
      </c>
      <c r="B44" s="3" t="n">
        <v>4</v>
      </c>
      <c r="C44" s="3" t="inlineStr">
        <is>
          <t>26I575</t>
        </is>
      </c>
      <c r="D44" s="3" t="inlineStr">
        <is>
          <t>B/G 18000</t>
        </is>
      </c>
      <c r="E44" s="3" t="n">
        <v>70</v>
      </c>
      <c r="F44" s="4" t="n">
        <v>15.38</v>
      </c>
      <c r="G44" s="4" t="n">
        <v>1076.6</v>
      </c>
      <c r="H44" s="5" t="n">
        <v>0.7743055555555556</v>
      </c>
      <c r="I44" s="5" t="n">
        <v>0.2708333333333333</v>
      </c>
      <c r="J44" s="3" t="n"/>
      <c r="K44" s="3" t="n"/>
      <c r="L44" s="3" t="n"/>
      <c r="M44" s="3" t="n"/>
      <c r="N44" s="3" t="n"/>
      <c r="O44" s="3" t="inlineStr"/>
      <c r="P44" s="6">
        <f>IF($C44="","",IF(COUNTIF($C$2:$C44,$C44)=1,1,0))</f>
        <v/>
      </c>
    </row>
    <row r="45">
      <c r="A45" s="2" t="n">
        <v>46269</v>
      </c>
      <c r="B45" s="3" t="n">
        <v>4</v>
      </c>
      <c r="C45" s="3" t="inlineStr">
        <is>
          <t>26I579</t>
        </is>
      </c>
      <c r="D45" s="3" t="inlineStr">
        <is>
          <t>MS 4344</t>
        </is>
      </c>
      <c r="E45" s="3" t="n">
        <v>354</v>
      </c>
      <c r="F45" s="4" t="n">
        <v>2.88</v>
      </c>
      <c r="G45" s="4" t="n">
        <v>1019.52</v>
      </c>
      <c r="H45" s="5" t="n">
        <v>0.2409722222222222</v>
      </c>
      <c r="I45" s="5" t="n">
        <v>0.7395833333333334</v>
      </c>
      <c r="J45" s="3" t="n"/>
      <c r="K45" s="3" t="n"/>
      <c r="L45" s="3" t="n"/>
      <c r="M45" s="3" t="n"/>
      <c r="N45" s="3" t="n"/>
      <c r="O45" s="3" t="inlineStr"/>
      <c r="P45" s="6">
        <f>IF($C45="","",IF(COUNTIF($C$2:$C45,$C45)=1,1,0))</f>
        <v/>
      </c>
    </row>
    <row r="46">
      <c r="A46" s="2" t="n">
        <v>46270</v>
      </c>
      <c r="B46" s="3" t="n">
        <v>1</v>
      </c>
      <c r="C46" s="3" t="inlineStr">
        <is>
          <t>26I576</t>
        </is>
      </c>
      <c r="D46" s="3" t="inlineStr">
        <is>
          <t>MS 9064</t>
        </is>
      </c>
      <c r="E46" s="3" t="n">
        <v>150</v>
      </c>
      <c r="F46" s="4" t="n">
        <v>6.92</v>
      </c>
      <c r="G46" s="4" t="n">
        <v>1038</v>
      </c>
      <c r="H46" s="5" t="n">
        <v>0.4298611111111111</v>
      </c>
      <c r="I46" s="5" t="n">
        <v>0.9340277777777778</v>
      </c>
      <c r="J46" s="3" t="n"/>
      <c r="K46" s="3" t="n"/>
      <c r="L46" s="3" t="n"/>
      <c r="M46" s="3" t="n"/>
      <c r="N46" s="3" t="n"/>
      <c r="O46" s="3" t="inlineStr"/>
      <c r="P46" s="6">
        <f>IF($C46="","",IF(COUNTIF($C$2:$C46,$C46)=1,1,0))</f>
        <v/>
      </c>
    </row>
    <row r="47">
      <c r="A47" s="2" t="n">
        <v>46270</v>
      </c>
      <c r="B47" s="3" t="n">
        <v>1</v>
      </c>
      <c r="C47" s="3" t="inlineStr">
        <is>
          <t>26I568</t>
        </is>
      </c>
      <c r="D47" s="3" t="inlineStr">
        <is>
          <t>MS 22018</t>
        </is>
      </c>
      <c r="E47" s="3" t="n">
        <v>38</v>
      </c>
      <c r="F47" s="4" t="n">
        <v>8.4</v>
      </c>
      <c r="G47" s="4" t="n">
        <v>319.2</v>
      </c>
      <c r="H47" s="5" t="n">
        <v>0.9097222222222222</v>
      </c>
      <c r="I47" s="5" t="n">
        <v>0.5</v>
      </c>
      <c r="J47" s="3" t="n"/>
      <c r="K47" s="3" t="n"/>
      <c r="L47" s="3" t="n"/>
      <c r="M47" s="3" t="n"/>
      <c r="N47" s="3" t="n"/>
      <c r="O47" s="3" t="inlineStr"/>
      <c r="P47" s="6">
        <f>IF($C47="","",IF(COUNTIF($C$2:$C47,$C47)=1,1,0))</f>
        <v/>
      </c>
    </row>
    <row r="48">
      <c r="A48" s="2" t="n">
        <v>46270</v>
      </c>
      <c r="B48" s="3" t="n">
        <v>2</v>
      </c>
      <c r="C48" s="3" t="inlineStr">
        <is>
          <t>26I12</t>
        </is>
      </c>
      <c r="D48" s="3" t="inlineStr">
        <is>
          <t>MS 32009</t>
        </is>
      </c>
      <c r="E48" s="3" t="n">
        <v>260</v>
      </c>
      <c r="F48" s="4" t="n">
        <v>3.04</v>
      </c>
      <c r="G48" s="4" t="n">
        <v>790.4</v>
      </c>
      <c r="H48" s="5" t="n">
        <v>0.7041666666666667</v>
      </c>
      <c r="I48" s="5" t="n">
        <v>0.05555555555555555</v>
      </c>
      <c r="J48" s="3" t="n"/>
      <c r="K48" s="3" t="n"/>
      <c r="L48" s="3" t="n"/>
      <c r="M48" s="3" t="n"/>
      <c r="N48" s="3" t="n"/>
      <c r="O48" s="3" t="inlineStr"/>
      <c r="P48" s="6">
        <f>IF($C48="","",IF(COUNTIF($C$2:$C48,$C48)=1,1,0))</f>
        <v/>
      </c>
    </row>
    <row r="49">
      <c r="A49" s="2" t="n">
        <v>46270</v>
      </c>
      <c r="B49" s="3" t="n">
        <v>2</v>
      </c>
      <c r="C49" s="3" t="inlineStr">
        <is>
          <t>26I13</t>
        </is>
      </c>
      <c r="D49" s="3" t="inlineStr">
        <is>
          <t>MS 32012</t>
        </is>
      </c>
      <c r="E49" s="3" t="n">
        <v>450</v>
      </c>
      <c r="F49" s="4" t="n">
        <v>2.1</v>
      </c>
      <c r="G49" s="4" t="n">
        <v>945</v>
      </c>
      <c r="H49" s="5" t="n">
        <v>0.02430555555555556</v>
      </c>
      <c r="I49" s="5" t="n">
        <v>0.375</v>
      </c>
      <c r="J49" s="3" t="n"/>
      <c r="K49" s="3" t="n"/>
      <c r="L49" s="3" t="n"/>
      <c r="M49" s="3" t="n"/>
      <c r="N49" s="3" t="n"/>
      <c r="O49" s="3" t="inlineStr"/>
      <c r="P49" s="6">
        <f>IF($C49="","",IF(COUNTIF($C$2:$C49,$C49)=1,1,0))</f>
        <v/>
      </c>
    </row>
    <row r="50">
      <c r="A50" s="2" t="n">
        <v>46270</v>
      </c>
      <c r="B50" s="3" t="n">
        <v>3</v>
      </c>
      <c r="C50" s="3" t="inlineStr">
        <is>
          <t>26I577</t>
        </is>
      </c>
      <c r="D50" s="3" t="inlineStr">
        <is>
          <t>MS 21017</t>
        </is>
      </c>
      <c r="E50" s="3" t="n">
        <v>150</v>
      </c>
      <c r="F50" s="4" t="n">
        <v>4.84</v>
      </c>
      <c r="G50" s="4" t="n">
        <v>726</v>
      </c>
      <c r="H50" s="5" t="n">
        <v>0.5194444444444445</v>
      </c>
      <c r="I50" s="5" t="n">
        <v>0.9548611111111112</v>
      </c>
      <c r="J50" s="3" t="n"/>
      <c r="K50" s="3" t="n"/>
      <c r="L50" s="3" t="n"/>
      <c r="M50" s="3" t="n"/>
      <c r="N50" s="3" t="n"/>
      <c r="O50" s="3" t="inlineStr"/>
      <c r="P50" s="6">
        <f>IF($C50="","",IF(COUNTIF($C$2:$C50,$C50)=1,1,0))</f>
        <v/>
      </c>
    </row>
    <row r="51">
      <c r="A51" s="2" t="n">
        <v>46270</v>
      </c>
      <c r="B51" s="3" t="n">
        <v>3</v>
      </c>
      <c r="C51" s="3" t="inlineStr">
        <is>
          <t>ZI585</t>
        </is>
      </c>
      <c r="D51" s="3" t="inlineStr">
        <is>
          <t>B/G 2047</t>
        </is>
      </c>
      <c r="E51" s="3" t="n">
        <v>49</v>
      </c>
      <c r="F51" s="4" t="n">
        <v>20.08</v>
      </c>
      <c r="G51" s="4" t="n">
        <v>983.92</v>
      </c>
      <c r="H51" s="5" t="n">
        <v>0.9270833333333334</v>
      </c>
      <c r="I51" s="5" t="n">
        <v>0.4409722222222222</v>
      </c>
      <c r="J51" s="3" t="n"/>
      <c r="K51" s="3" t="n"/>
      <c r="L51" s="3" t="n"/>
      <c r="M51" s="3" t="n"/>
      <c r="N51" s="3" t="n"/>
      <c r="O51" s="3" t="inlineStr"/>
      <c r="P51" s="6">
        <f>IF($C51="","",IF(COUNTIF($C$2:$C51,$C51)=1,1,0))</f>
        <v/>
      </c>
    </row>
    <row r="52">
      <c r="A52" s="2" t="n">
        <v>46270</v>
      </c>
      <c r="B52" s="3" t="n">
        <v>3</v>
      </c>
      <c r="C52" s="3" t="inlineStr">
        <is>
          <t>ZI585</t>
        </is>
      </c>
      <c r="D52" s="3" t="inlineStr">
        <is>
          <t>MS 9069</t>
        </is>
      </c>
      <c r="E52" s="3" t="n">
        <v>5</v>
      </c>
      <c r="F52" s="4" t="n">
        <v>10.7</v>
      </c>
      <c r="G52" s="4" t="n">
        <v>53.5</v>
      </c>
      <c r="H52" s="5" t="n">
        <v>0.9270833333333334</v>
      </c>
      <c r="I52" s="5" t="n">
        <v>0.4409722222222222</v>
      </c>
      <c r="J52" s="3" t="n"/>
      <c r="K52" s="3" t="n"/>
      <c r="L52" s="3" t="n"/>
      <c r="M52" s="3" t="n"/>
      <c r="N52" s="3" t="n"/>
      <c r="O52" s="3" t="inlineStr"/>
      <c r="P52" s="6">
        <f>IF($C52="","",IF(COUNTIF($C$2:$C52,$C52)=1,1,0))</f>
        <v/>
      </c>
    </row>
    <row r="53">
      <c r="A53" s="2" t="n">
        <v>46270</v>
      </c>
      <c r="B53" s="3" t="n">
        <v>4</v>
      </c>
      <c r="C53" s="3" t="inlineStr">
        <is>
          <t>26I582</t>
        </is>
      </c>
      <c r="D53" s="3" t="inlineStr">
        <is>
          <t>MS 4435</t>
        </is>
      </c>
      <c r="E53" s="3" t="n">
        <v>113</v>
      </c>
      <c r="F53" s="4" t="n">
        <v>7.3</v>
      </c>
      <c r="G53" s="4" t="n">
        <v>824.9</v>
      </c>
      <c r="H53" s="5" t="n">
        <v>0.7090277777777778</v>
      </c>
      <c r="I53" s="5" t="n">
        <v>0.2048611111111111</v>
      </c>
      <c r="J53" s="3" t="n"/>
      <c r="K53" s="3" t="n"/>
      <c r="L53" s="3" t="n"/>
      <c r="M53" s="3" t="n"/>
      <c r="N53" s="3" t="n"/>
      <c r="O53" s="3" t="inlineStr"/>
      <c r="P53" s="6">
        <f>IF($C53="","",IF(COUNTIF($C$2:$C53,$C53)=1,1,0))</f>
        <v/>
      </c>
    </row>
    <row r="54">
      <c r="A54" s="2" t="n">
        <v>46270</v>
      </c>
      <c r="B54" s="3" t="n">
        <v>4</v>
      </c>
      <c r="C54" s="3" t="inlineStr">
        <is>
          <t>26I582</t>
        </is>
      </c>
      <c r="D54" s="3" t="inlineStr">
        <is>
          <t>MS 23022</t>
        </is>
      </c>
      <c r="E54" s="3" t="n">
        <v>16</v>
      </c>
      <c r="F54" s="4" t="n">
        <v>0.82</v>
      </c>
      <c r="G54" s="4" t="n">
        <v>13.12</v>
      </c>
      <c r="H54" s="5" t="n">
        <v>0.7090277777777778</v>
      </c>
      <c r="I54" s="5" t="n">
        <v>0.2048611111111111</v>
      </c>
      <c r="J54" s="3" t="n"/>
      <c r="K54" s="3" t="n"/>
      <c r="L54" s="3" t="n"/>
      <c r="M54" s="3" t="n"/>
      <c r="N54" s="3" t="n"/>
      <c r="O54" s="3" t="inlineStr"/>
      <c r="P54" s="6">
        <f>IF($C54="","",IF(COUNTIF($C$2:$C54,$C54)=1,1,0))</f>
        <v/>
      </c>
    </row>
    <row r="55">
      <c r="A55" s="2" t="n">
        <v>46270</v>
      </c>
      <c r="B55" s="3" t="n">
        <v>4</v>
      </c>
      <c r="C55" s="3" t="inlineStr">
        <is>
          <t>26I582</t>
        </is>
      </c>
      <c r="D55" s="3" t="inlineStr">
        <is>
          <t>MS 23028</t>
        </is>
      </c>
      <c r="E55" s="3" t="n">
        <v>71</v>
      </c>
      <c r="F55" s="4" t="n">
        <v>0.82</v>
      </c>
      <c r="G55" s="4" t="n">
        <v>58.22</v>
      </c>
      <c r="H55" s="5" t="n">
        <v>0.7090277777777778</v>
      </c>
      <c r="I55" s="5" t="n">
        <v>0.2048611111111111</v>
      </c>
      <c r="J55" s="3" t="n"/>
      <c r="K55" s="3" t="n"/>
      <c r="L55" s="3" t="n"/>
      <c r="M55" s="3" t="n"/>
      <c r="N55" s="3" t="n"/>
      <c r="O55" s="3" t="inlineStr"/>
      <c r="P55" s="6">
        <f>IF($C55="","",IF(COUNTIF($C$2:$C55,$C55)=1,1,0))</f>
        <v/>
      </c>
    </row>
    <row r="56">
      <c r="A56" s="2" t="n">
        <v>46270</v>
      </c>
      <c r="B56" s="3" t="n">
        <v>4</v>
      </c>
      <c r="C56" s="3" t="inlineStr">
        <is>
          <t>26I584</t>
        </is>
      </c>
      <c r="D56" s="3" t="inlineStr">
        <is>
          <t>MS 4532</t>
        </is>
      </c>
      <c r="E56" s="3" t="n">
        <v>454</v>
      </c>
      <c r="F56" s="4" t="n">
        <v>0.44</v>
      </c>
      <c r="G56" s="4" t="n">
        <v>199.76</v>
      </c>
      <c r="H56" s="5" t="n">
        <v>0.1770833333333333</v>
      </c>
      <c r="I56" s="5" t="n">
        <v>0.5625</v>
      </c>
      <c r="J56" s="3" t="n"/>
      <c r="K56" s="3" t="n"/>
      <c r="L56" s="3" t="n"/>
      <c r="M56" s="3" t="n"/>
      <c r="N56" s="3" t="n"/>
      <c r="O56" s="3" t="inlineStr"/>
      <c r="P56" s="6">
        <f>IF($C56="","",IF(COUNTIF($C$2:$C56,$C56)=1,1,0))</f>
        <v/>
      </c>
    </row>
    <row r="57">
      <c r="A57" s="2" t="n">
        <v>46270</v>
      </c>
      <c r="B57" s="3" t="n">
        <v>4</v>
      </c>
      <c r="C57" s="3" t="inlineStr">
        <is>
          <t>26I584</t>
        </is>
      </c>
      <c r="D57" s="3" t="inlineStr">
        <is>
          <t>MS 22004</t>
        </is>
      </c>
      <c r="E57" s="3" t="n">
        <v>253</v>
      </c>
      <c r="F57" s="4" t="n">
        <v>1.2</v>
      </c>
      <c r="G57" s="4" t="n">
        <v>303.6</v>
      </c>
      <c r="H57" s="5" t="n">
        <v>0.1770833333333333</v>
      </c>
      <c r="I57" s="5" t="n">
        <v>0.5625</v>
      </c>
      <c r="J57" s="3" t="n"/>
      <c r="K57" s="3" t="n"/>
      <c r="L57" s="3" t="n"/>
      <c r="M57" s="3" t="n"/>
      <c r="N57" s="3" t="n"/>
      <c r="O57" s="3" t="inlineStr"/>
      <c r="P57" s="6">
        <f>IF($C57="","",IF(COUNTIF($C$2:$C57,$C57)=1,1,0))</f>
        <v/>
      </c>
    </row>
    <row r="58">
      <c r="A58" s="2" t="n">
        <v>46271</v>
      </c>
      <c r="B58" s="3" t="n">
        <v>1</v>
      </c>
      <c r="C58" s="3" t="inlineStr">
        <is>
          <t>26I15</t>
        </is>
      </c>
      <c r="D58" s="3" t="inlineStr">
        <is>
          <t>MS 32012</t>
        </is>
      </c>
      <c r="E58" s="3" t="n">
        <v>450</v>
      </c>
      <c r="F58" s="4" t="n">
        <v>2.1</v>
      </c>
      <c r="G58" s="4" t="n">
        <v>945</v>
      </c>
      <c r="H58" s="5" t="n">
        <v>0.4715277777777778</v>
      </c>
      <c r="I58" s="5" t="n">
        <v>0.8229166666666666</v>
      </c>
      <c r="J58" s="3" t="n"/>
      <c r="K58" s="3" t="n"/>
      <c r="L58" s="3" t="n"/>
      <c r="M58" s="3" t="n"/>
      <c r="N58" s="3" t="n"/>
      <c r="O58" s="3" t="inlineStr"/>
      <c r="P58" s="6">
        <f>IF($C58="","",IF(COUNTIF($C$2:$C58,$C58)=1,1,0))</f>
        <v/>
      </c>
    </row>
    <row r="59">
      <c r="A59" s="2" t="n">
        <v>46271</v>
      </c>
      <c r="B59" s="3" t="n">
        <v>1</v>
      </c>
      <c r="C59" s="3" t="inlineStr">
        <is>
          <t>26I583</t>
        </is>
      </c>
      <c r="D59" s="3" t="inlineStr">
        <is>
          <t>MS 23008</t>
        </is>
      </c>
      <c r="E59" s="3" t="n">
        <v>13</v>
      </c>
      <c r="F59" s="4" t="n">
        <v>31.32</v>
      </c>
      <c r="G59" s="4" t="n">
        <v>407.16</v>
      </c>
      <c r="H59" s="5" t="n">
        <v>0.7951388888888888</v>
      </c>
      <c r="I59" s="5" t="n">
        <v>0.2847222222222222</v>
      </c>
      <c r="J59" s="3" t="n"/>
      <c r="K59" s="3" t="n"/>
      <c r="L59" s="3" t="n"/>
      <c r="M59" s="3" t="n"/>
      <c r="N59" s="3" t="n"/>
      <c r="O59" s="3" t="inlineStr"/>
      <c r="P59" s="6">
        <f>IF($C59="","",IF(COUNTIF($C$2:$C59,$C59)=1,1,0))</f>
        <v/>
      </c>
    </row>
    <row r="60">
      <c r="A60" s="2" t="n">
        <v>46271</v>
      </c>
      <c r="B60" s="3" t="n">
        <v>1</v>
      </c>
      <c r="C60" s="3" t="inlineStr">
        <is>
          <t>26I583</t>
        </is>
      </c>
      <c r="D60" s="3" t="inlineStr">
        <is>
          <t>MS 4135</t>
        </is>
      </c>
      <c r="E60" s="3" t="n">
        <v>80</v>
      </c>
      <c r="F60" s="4" t="n">
        <v>4.78</v>
      </c>
      <c r="G60" s="4" t="n">
        <v>382.4</v>
      </c>
      <c r="H60" s="5" t="n">
        <v>0.7951388888888888</v>
      </c>
      <c r="I60" s="5" t="n">
        <v>0.2847222222222222</v>
      </c>
      <c r="J60" s="3" t="n"/>
      <c r="K60" s="3" t="n"/>
      <c r="L60" s="3" t="n"/>
      <c r="M60" s="3" t="n"/>
      <c r="N60" s="3" t="n"/>
      <c r="O60" s="3" t="inlineStr"/>
      <c r="P60" s="6">
        <f>IF($C60="","",IF(COUNTIF($C$2:$C60,$C60)=1,1,0))</f>
        <v/>
      </c>
    </row>
    <row r="61">
      <c r="A61" s="2" t="n">
        <v>46271</v>
      </c>
      <c r="B61" s="3" t="n">
        <v>1</v>
      </c>
      <c r="C61" s="3" t="inlineStr">
        <is>
          <t>26I17</t>
        </is>
      </c>
      <c r="D61" s="3" t="inlineStr">
        <is>
          <t>MS 32009</t>
        </is>
      </c>
      <c r="E61" s="3" t="n">
        <v>260</v>
      </c>
      <c r="F61" s="4" t="n">
        <v>3.04</v>
      </c>
      <c r="G61" s="4" t="n">
        <v>790.4</v>
      </c>
      <c r="H61" s="5" t="n">
        <v>0.2548611111111111</v>
      </c>
      <c r="I61" s="5" t="n">
        <v>0.5833333333333334</v>
      </c>
      <c r="J61" s="3" t="n"/>
      <c r="K61" s="3" t="n"/>
      <c r="L61" s="3" t="n"/>
      <c r="M61" s="3" t="n"/>
      <c r="N61" s="3" t="n"/>
      <c r="O61" s="3" t="inlineStr"/>
      <c r="P61" s="6">
        <f>IF($C61="","",IF(COUNTIF($C$2:$C61,$C61)=1,1,0))</f>
        <v/>
      </c>
    </row>
    <row r="62">
      <c r="A62" s="2" t="n">
        <v>46271</v>
      </c>
      <c r="B62" s="3" t="n">
        <v>2</v>
      </c>
      <c r="C62" s="3" t="inlineStr">
        <is>
          <t>26I14</t>
        </is>
      </c>
      <c r="D62" s="3" t="inlineStr">
        <is>
          <t>MS 32009</t>
        </is>
      </c>
      <c r="E62" s="3" t="n">
        <v>260</v>
      </c>
      <c r="F62" s="4" t="n">
        <v>3.04</v>
      </c>
      <c r="G62" s="4" t="n">
        <v>790.4</v>
      </c>
      <c r="H62" s="5" t="n">
        <v>0.3458333333333333</v>
      </c>
      <c r="I62" s="5" t="n">
        <v>0.6979166666666666</v>
      </c>
      <c r="J62" s="3" t="n"/>
      <c r="K62" s="3" t="n"/>
      <c r="L62" s="3" t="n"/>
      <c r="M62" s="3" t="n"/>
      <c r="N62" s="3" t="n"/>
      <c r="O62" s="3" t="inlineStr"/>
      <c r="P62" s="6">
        <f>IF($C62="","",IF(COUNTIF($C$2:$C62,$C62)=1,1,0))</f>
        <v/>
      </c>
    </row>
    <row r="63">
      <c r="A63" s="2" t="n">
        <v>46271</v>
      </c>
      <c r="B63" s="3" t="n">
        <v>2</v>
      </c>
      <c r="C63" s="3" t="inlineStr">
        <is>
          <t>26I16</t>
        </is>
      </c>
      <c r="D63" s="3" t="inlineStr">
        <is>
          <t>MS 32012</t>
        </is>
      </c>
      <c r="E63" s="3" t="n">
        <v>450</v>
      </c>
      <c r="F63" s="4" t="n">
        <v>2.1</v>
      </c>
      <c r="G63" s="4" t="n">
        <v>945</v>
      </c>
      <c r="H63" s="5" t="n">
        <v>0.6708333333333333</v>
      </c>
      <c r="I63" s="5" t="n">
        <v>0.01736111111111111</v>
      </c>
      <c r="J63" s="3" t="n"/>
      <c r="K63" s="3" t="n"/>
      <c r="L63" s="3" t="n"/>
      <c r="M63" s="3" t="n"/>
      <c r="N63" s="3" t="n"/>
      <c r="O63" s="3" t="inlineStr"/>
      <c r="P63" s="6">
        <f>IF($C63="","",IF(COUNTIF($C$2:$C63,$C63)=1,1,0))</f>
        <v/>
      </c>
    </row>
    <row r="64">
      <c r="A64" s="2" t="n">
        <v>46271</v>
      </c>
      <c r="B64" s="3" t="n">
        <v>2</v>
      </c>
      <c r="C64" s="3" t="inlineStr">
        <is>
          <t>26I588</t>
        </is>
      </c>
      <c r="D64" s="3" t="inlineStr">
        <is>
          <t>MS 14014</t>
        </is>
      </c>
      <c r="E64" s="3" t="n">
        <v>32</v>
      </c>
      <c r="F64" s="4" t="n">
        <v>30</v>
      </c>
      <c r="G64" s="4" t="n">
        <v>960</v>
      </c>
      <c r="H64" s="5" t="n">
        <v>0.9895833333333334</v>
      </c>
      <c r="I64" s="5" t="n">
        <v>0.6541666666666667</v>
      </c>
      <c r="J64" s="3" t="n"/>
      <c r="K64" s="3" t="n"/>
      <c r="L64" s="3" t="n"/>
      <c r="M64" s="3" t="n"/>
      <c r="N64" s="3" t="n"/>
      <c r="O64" s="3" t="inlineStr"/>
      <c r="P64" s="6">
        <f>IF($C64="","",IF(COUNTIF($C$2:$C64,$C64)=1,1,0))</f>
        <v/>
      </c>
    </row>
    <row r="65">
      <c r="A65" s="2" t="n">
        <v>46271</v>
      </c>
      <c r="B65" s="3" t="n">
        <v>3</v>
      </c>
      <c r="C65" s="3" t="inlineStr">
        <is>
          <t>26I586</t>
        </is>
      </c>
      <c r="D65" s="3" t="inlineStr">
        <is>
          <t>MS 4435</t>
        </is>
      </c>
      <c r="E65" s="3" t="n">
        <v>150</v>
      </c>
      <c r="F65" s="4" t="n">
        <v>7.3</v>
      </c>
      <c r="G65" s="4" t="n">
        <v>1095</v>
      </c>
      <c r="H65" s="5" t="n">
        <v>0.4256944444444444</v>
      </c>
      <c r="I65" s="5" t="n">
        <v>0.8993055555555556</v>
      </c>
      <c r="J65" s="3" t="n"/>
      <c r="K65" s="3" t="n"/>
      <c r="L65" s="3" t="n"/>
      <c r="M65" s="3" t="n"/>
      <c r="N65" s="3" t="n"/>
      <c r="O65" s="3" t="inlineStr"/>
      <c r="P65" s="6">
        <f>IF($C65="","",IF(COUNTIF($C$2:$C65,$C65)=1,1,0))</f>
        <v/>
      </c>
    </row>
    <row r="66">
      <c r="A66" s="2" t="n">
        <v>46271</v>
      </c>
      <c r="B66" s="3" t="n">
        <v>3</v>
      </c>
      <c r="C66" s="3" t="inlineStr">
        <is>
          <t>26I587</t>
        </is>
      </c>
      <c r="D66" s="3" t="inlineStr">
        <is>
          <t>MS 4435</t>
        </is>
      </c>
      <c r="E66" s="3" t="n">
        <v>150</v>
      </c>
      <c r="F66" s="4" t="n">
        <v>7.3</v>
      </c>
      <c r="G66" s="4" t="n">
        <v>1095</v>
      </c>
      <c r="H66" s="5" t="n">
        <v>0.8743055555555556</v>
      </c>
      <c r="I66" s="5" t="n">
        <v>0.3541666666666667</v>
      </c>
      <c r="J66" s="3" t="n"/>
      <c r="K66" s="3" t="n"/>
      <c r="L66" s="3" t="n"/>
      <c r="M66" s="3" t="n"/>
      <c r="N66" s="3" t="n"/>
      <c r="O66" s="3" t="inlineStr"/>
      <c r="P66" s="6">
        <f>IF($C66="","",IF(COUNTIF($C$2:$C66,$C66)=1,1,0))</f>
        <v/>
      </c>
    </row>
    <row r="67">
      <c r="A67" s="2" t="n">
        <v>46271</v>
      </c>
      <c r="B67" s="3" t="n">
        <v>4</v>
      </c>
      <c r="C67" s="3" t="inlineStr">
        <is>
          <t>26I581</t>
        </is>
      </c>
      <c r="D67" s="3" t="inlineStr">
        <is>
          <t>MS 4412</t>
        </is>
      </c>
      <c r="E67" s="3" t="n">
        <v>136</v>
      </c>
      <c r="F67" s="4" t="n">
        <v>8.279999999999999</v>
      </c>
      <c r="G67" s="4" t="n">
        <v>1126.08</v>
      </c>
      <c r="H67" s="5" t="n">
        <v>0.5347222222222222</v>
      </c>
      <c r="I67" s="5" t="n">
        <v>0.006944444444444444</v>
      </c>
      <c r="J67" s="3" t="n"/>
      <c r="K67" s="3" t="n"/>
      <c r="L67" s="3" t="n"/>
      <c r="M67" s="3" t="n"/>
      <c r="N67" s="3" t="n"/>
      <c r="O67" s="3" t="inlineStr"/>
      <c r="P67" s="6">
        <f>IF($C67="","",IF(COUNTIF($C$2:$C67,$C67)=1,1,0))</f>
        <v/>
      </c>
    </row>
    <row r="68">
      <c r="A68" s="2" t="n">
        <v>46271</v>
      </c>
      <c r="B68" s="3" t="n">
        <v>4</v>
      </c>
      <c r="C68" s="3" t="inlineStr">
        <is>
          <t>26I590</t>
        </is>
      </c>
      <c r="D68" s="3" t="inlineStr">
        <is>
          <t>MS 4435</t>
        </is>
      </c>
      <c r="E68" s="3" t="n">
        <v>14</v>
      </c>
      <c r="F68" s="4" t="n">
        <v>7.3</v>
      </c>
      <c r="G68" s="4" t="n">
        <v>102.2</v>
      </c>
      <c r="H68" s="5" t="n">
        <v>0.9784722222222222</v>
      </c>
      <c r="I68" s="5" t="n">
        <v>0.4548611111111111</v>
      </c>
      <c r="J68" s="3" t="n"/>
      <c r="K68" s="3" t="n"/>
      <c r="L68" s="3" t="n"/>
      <c r="M68" s="3" t="n"/>
      <c r="N68" s="3" t="n"/>
      <c r="O68" s="3" t="inlineStr"/>
      <c r="P68" s="6">
        <f>IF($C68="","",IF(COUNTIF($C$2:$C68,$C68)=1,1,0))</f>
        <v/>
      </c>
    </row>
    <row r="69">
      <c r="A69" s="2" t="n">
        <v>46271</v>
      </c>
      <c r="B69" s="3" t="n">
        <v>4</v>
      </c>
      <c r="C69" s="3" t="inlineStr">
        <is>
          <t>26I590</t>
        </is>
      </c>
      <c r="D69" s="3" t="inlineStr">
        <is>
          <t>MS 4463</t>
        </is>
      </c>
      <c r="E69" s="3" t="n">
        <v>129</v>
      </c>
      <c r="F69" s="4" t="n">
        <v>7.3</v>
      </c>
      <c r="G69" s="4" t="n">
        <v>941.7</v>
      </c>
      <c r="H69" s="5" t="n">
        <v>0.9784722222222222</v>
      </c>
      <c r="I69" s="5" t="n">
        <v>0.4548611111111111</v>
      </c>
      <c r="J69" s="3" t="n"/>
      <c r="K69" s="3" t="n"/>
      <c r="L69" s="3" t="n"/>
      <c r="M69" s="3" t="n"/>
      <c r="N69" s="3" t="n"/>
      <c r="O69" s="3" t="inlineStr"/>
      <c r="P69" s="6">
        <f>IF($C69="","",IF(COUNTIF($C$2:$C69,$C69)=1,1,0))</f>
        <v/>
      </c>
    </row>
    <row r="70">
      <c r="A70" s="2" t="n">
        <v>46272</v>
      </c>
      <c r="B70" s="3" t="n">
        <v>1</v>
      </c>
      <c r="C70" s="3" t="inlineStr">
        <is>
          <t>26I170</t>
        </is>
      </c>
      <c r="D70" s="3" t="inlineStr">
        <is>
          <t>MS 32009</t>
        </is>
      </c>
      <c r="E70" s="3" t="n">
        <v>260</v>
      </c>
      <c r="F70" s="4" t="n">
        <v>3.04</v>
      </c>
      <c r="G70" s="4" t="n">
        <v>790.4</v>
      </c>
      <c r="H70" s="5" t="n">
        <v>0.5555555555555556</v>
      </c>
      <c r="I70" s="5" t="n">
        <v>0.8819444444444444</v>
      </c>
      <c r="J70" s="3" t="n"/>
      <c r="K70" s="3" t="n"/>
      <c r="L70" s="3" t="n"/>
      <c r="M70" s="3" t="n"/>
      <c r="N70" s="3" t="n"/>
      <c r="O70" s="3" t="inlineStr"/>
      <c r="P70" s="6">
        <f>IF($C70="","",IF(COUNTIF($C$2:$C70,$C70)=1,1,0))</f>
        <v/>
      </c>
    </row>
    <row r="71">
      <c r="A71" s="7" t="n">
        <v>46272</v>
      </c>
      <c r="B71" s="8" t="n">
        <v>1</v>
      </c>
      <c r="C71" s="8" t="inlineStr">
        <is>
          <t>ZI592</t>
        </is>
      </c>
      <c r="D71" s="8" t="inlineStr">
        <is>
          <t>MS 22018</t>
        </is>
      </c>
      <c r="E71" s="8" t="n">
        <v>15</v>
      </c>
      <c r="F71" s="9" t="n">
        <v>8.4</v>
      </c>
      <c r="G71" s="9" t="n">
        <v>126</v>
      </c>
      <c r="H71" s="10" t="n">
        <v>0.8548611111111111</v>
      </c>
      <c r="I71" s="10" t="n">
        <v>0.4826388888888889</v>
      </c>
      <c r="J71" s="8" t="n"/>
      <c r="K71" s="8" t="n"/>
      <c r="L71" s="8" t="n"/>
      <c r="M71" s="8" t="n"/>
      <c r="N71" s="8" t="n"/>
      <c r="O71" s="11" t="inlineStr">
        <is>
          <t>Rate/typo check needed</t>
        </is>
      </c>
      <c r="P71" s="6">
        <f>IF($C71="","",IF(COUNTIF($C$2:$C71,$C71)=1,1,0))</f>
        <v/>
      </c>
    </row>
    <row r="72">
      <c r="A72" s="7" t="n">
        <v>46272</v>
      </c>
      <c r="B72" s="8" t="n">
        <v>1</v>
      </c>
      <c r="C72" s="8" t="inlineStr">
        <is>
          <t>ZI592</t>
        </is>
      </c>
      <c r="D72" s="8" t="inlineStr">
        <is>
          <t>B/G 20002</t>
        </is>
      </c>
      <c r="E72" s="8" t="n">
        <v>48</v>
      </c>
      <c r="F72" s="9" t="n">
        <v>15.58</v>
      </c>
      <c r="G72" s="9" t="n">
        <v>747.84</v>
      </c>
      <c r="H72" s="10" t="n">
        <v>0.8548611111111111</v>
      </c>
      <c r="I72" s="10" t="n">
        <v>0.4826388888888889</v>
      </c>
      <c r="J72" s="8" t="n"/>
      <c r="K72" s="8" t="n"/>
      <c r="L72" s="8" t="n"/>
      <c r="M72" s="8" t="n"/>
      <c r="N72" s="8" t="n"/>
      <c r="O72" s="11" t="inlineStr">
        <is>
          <t>Rate/typo check needed</t>
        </is>
      </c>
      <c r="P72" s="6">
        <f>IF($C72="","",IF(COUNTIF($C$2:$C72,$C72)=1,1,0))</f>
        <v/>
      </c>
    </row>
    <row r="73">
      <c r="A73" s="2" t="n">
        <v>46272</v>
      </c>
      <c r="B73" s="3" t="n">
        <v>2</v>
      </c>
      <c r="C73" s="3" t="inlineStr">
        <is>
          <t>26I593</t>
        </is>
      </c>
      <c r="D73" s="3" t="inlineStr">
        <is>
          <t>MS 9064</t>
        </is>
      </c>
      <c r="E73" s="3" t="n">
        <v>150</v>
      </c>
      <c r="F73" s="4" t="n">
        <v>6.92</v>
      </c>
      <c r="G73" s="4" t="n">
        <v>1038</v>
      </c>
      <c r="H73" s="5" t="n">
        <v>0.675</v>
      </c>
      <c r="I73" s="5" t="n">
        <v>0.1736111111111111</v>
      </c>
      <c r="J73" s="3" t="n"/>
      <c r="K73" s="3" t="n"/>
      <c r="L73" s="3" t="n"/>
      <c r="M73" s="3" t="n"/>
      <c r="N73" s="3" t="n"/>
      <c r="O73" s="3" t="inlineStr"/>
      <c r="P73" s="6">
        <f>IF($C73="","",IF(COUNTIF($C$2:$C73,$C73)=1,1,0))</f>
        <v/>
      </c>
    </row>
    <row r="74">
      <c r="A74" s="2" t="n">
        <v>46272</v>
      </c>
      <c r="B74" s="3" t="n">
        <v>2</v>
      </c>
      <c r="C74" s="3" t="inlineStr">
        <is>
          <t>26I19</t>
        </is>
      </c>
      <c r="D74" s="3" t="inlineStr">
        <is>
          <t>MS 32009</t>
        </is>
      </c>
      <c r="E74" s="3" t="n">
        <v>260</v>
      </c>
      <c r="F74" s="4" t="n">
        <v>3.04</v>
      </c>
      <c r="G74" s="4" t="n">
        <v>790.4</v>
      </c>
      <c r="H74" s="5" t="n">
        <v>0.1444444444444444</v>
      </c>
      <c r="I74" s="5" t="n">
        <v>0.4930555555555556</v>
      </c>
      <c r="J74" s="3" t="n"/>
      <c r="K74" s="3" t="n"/>
      <c r="L74" s="3" t="n"/>
      <c r="M74" s="3" t="n"/>
      <c r="N74" s="3" t="n"/>
      <c r="O74" s="3" t="inlineStr"/>
      <c r="P74" s="6">
        <f>IF($C74="","",IF(COUNTIF($C$2:$C74,$C74)=1,1,0))</f>
        <v/>
      </c>
    </row>
    <row r="75">
      <c r="A75" s="2" t="n">
        <v>46272</v>
      </c>
      <c r="B75" s="3" t="n">
        <v>3</v>
      </c>
      <c r="C75" s="3" t="inlineStr">
        <is>
          <t>26I589</t>
        </is>
      </c>
      <c r="D75" s="3" t="inlineStr">
        <is>
          <t>MS 4412</t>
        </is>
      </c>
      <c r="E75" s="3" t="n">
        <v>129</v>
      </c>
      <c r="F75" s="4" t="n">
        <v>8.279999999999999</v>
      </c>
      <c r="G75" s="4" t="n">
        <v>1068.12</v>
      </c>
      <c r="H75" s="5" t="n">
        <v>0.3243055555555556</v>
      </c>
      <c r="I75" s="5" t="n">
        <v>0.7895833333333333</v>
      </c>
      <c r="J75" s="3" t="n"/>
      <c r="K75" s="3" t="n"/>
      <c r="L75" s="3" t="n"/>
      <c r="M75" s="3" t="n"/>
      <c r="N75" s="3" t="n"/>
      <c r="O75" s="3" t="inlineStr"/>
      <c r="P75" s="6">
        <f>IF($C75="","",IF(COUNTIF($C$2:$C75,$C75)=1,1,0))</f>
        <v/>
      </c>
    </row>
    <row r="76">
      <c r="A76" s="2" t="n">
        <v>46272</v>
      </c>
      <c r="B76" s="3" t="n">
        <v>3</v>
      </c>
      <c r="C76" s="3" t="inlineStr">
        <is>
          <t>26I594</t>
        </is>
      </c>
      <c r="D76" s="3" t="inlineStr">
        <is>
          <t>B/G 18000</t>
        </is>
      </c>
      <c r="E76" s="3" t="n">
        <v>70</v>
      </c>
      <c r="F76" s="4" t="n">
        <v>15.38</v>
      </c>
      <c r="G76" s="4" t="n">
        <v>1076.6</v>
      </c>
      <c r="H76" s="5" t="n">
        <v>0.8020833333333334</v>
      </c>
      <c r="I76" s="5" t="n">
        <v>0.3159722222222222</v>
      </c>
      <c r="J76" s="3" t="n"/>
      <c r="K76" s="3" t="n"/>
      <c r="L76" s="3" t="n"/>
      <c r="M76" s="3" t="n"/>
      <c r="N76" s="3" t="n"/>
      <c r="O76" s="3" t="inlineStr"/>
      <c r="P76" s="6">
        <f>IF($C76="","",IF(COUNTIF($C$2:$C76,$C76)=1,1,0))</f>
        <v/>
      </c>
    </row>
    <row r="77">
      <c r="A77" s="2" t="n">
        <v>46272</v>
      </c>
      <c r="B77" s="3" t="n">
        <v>4</v>
      </c>
      <c r="C77" s="3" t="inlineStr">
        <is>
          <t>26I591</t>
        </is>
      </c>
      <c r="D77" s="3" t="inlineStr">
        <is>
          <t>MS 4463</t>
        </is>
      </c>
      <c r="E77" s="3" t="n">
        <v>150</v>
      </c>
      <c r="F77" s="4" t="n">
        <v>7.3</v>
      </c>
      <c r="G77" s="4" t="n">
        <v>1095</v>
      </c>
      <c r="H77" s="5" t="n">
        <v>0.4256944444444444</v>
      </c>
      <c r="I77" s="5" t="n">
        <v>0.9069444444444444</v>
      </c>
      <c r="J77" s="3" t="n"/>
      <c r="K77" s="3" t="n"/>
      <c r="L77" s="3" t="n"/>
      <c r="M77" s="3" t="n"/>
      <c r="N77" s="3" t="n"/>
      <c r="O77" s="3" t="inlineStr"/>
      <c r="P77" s="6">
        <f>IF($C77="","",IF(COUNTIF($C$2:$C77,$C77)=1,1,0))</f>
        <v/>
      </c>
    </row>
    <row r="78">
      <c r="A78" s="2" t="n">
        <v>46272</v>
      </c>
      <c r="B78" s="3" t="n">
        <v>4</v>
      </c>
      <c r="C78" s="3" t="inlineStr">
        <is>
          <t>26I596</t>
        </is>
      </c>
      <c r="D78" s="3" t="inlineStr">
        <is>
          <t>MS 4412</t>
        </is>
      </c>
      <c r="E78" s="3" t="n">
        <v>114</v>
      </c>
      <c r="F78" s="4" t="n">
        <v>8.279999999999999</v>
      </c>
      <c r="G78" s="4" t="n">
        <v>943.92</v>
      </c>
      <c r="H78" s="5" t="n">
        <v>0.8888888888888888</v>
      </c>
      <c r="I78" s="5" t="n">
        <v>0.3298611111111111</v>
      </c>
      <c r="J78" s="3" t="n"/>
      <c r="K78" s="3" t="n"/>
      <c r="L78" s="3" t="n"/>
      <c r="M78" s="3" t="n"/>
      <c r="N78" s="3" t="n"/>
      <c r="O78" s="3" t="inlineStr"/>
      <c r="P78" s="6">
        <f>IF($C78="","",IF(COUNTIF($C$2:$C78,$C78)=1,1,0))</f>
        <v/>
      </c>
    </row>
    <row r="79">
      <c r="A79" s="2" t="n">
        <v>46273</v>
      </c>
      <c r="B79" s="3" t="n">
        <v>1</v>
      </c>
      <c r="C79" s="3" t="inlineStr">
        <is>
          <t>26I20</t>
        </is>
      </c>
      <c r="D79" s="3" t="inlineStr">
        <is>
          <t>MS 32009</t>
        </is>
      </c>
      <c r="E79" s="3" t="n">
        <v>260</v>
      </c>
      <c r="F79" s="4" t="n">
        <v>3.04</v>
      </c>
      <c r="G79" s="4" t="n">
        <v>790.4</v>
      </c>
      <c r="H79" s="5" t="n">
        <v>0.4583333333333333</v>
      </c>
      <c r="I79" s="5" t="n">
        <v>0.7916666666666666</v>
      </c>
      <c r="J79" s="3" t="n"/>
      <c r="K79" s="3" t="n"/>
      <c r="L79" s="3" t="n"/>
      <c r="M79" s="3" t="n"/>
      <c r="N79" s="3" t="n"/>
      <c r="O79" s="3" t="inlineStr"/>
      <c r="P79" s="6">
        <f>IF($C79="","",IF(COUNTIF($C$2:$C79,$C79)=1,1,0))</f>
        <v/>
      </c>
    </row>
    <row r="80">
      <c r="A80" s="2" t="n">
        <v>46273</v>
      </c>
      <c r="B80" s="3" t="n">
        <v>1</v>
      </c>
      <c r="C80" s="3" t="inlineStr">
        <is>
          <t>26I601</t>
        </is>
      </c>
      <c r="D80" s="3" t="inlineStr">
        <is>
          <t>MS 9064</t>
        </is>
      </c>
      <c r="E80" s="3" t="n">
        <v>150</v>
      </c>
      <c r="F80" s="4" t="n">
        <v>6.92</v>
      </c>
      <c r="G80" s="4" t="n">
        <v>1038</v>
      </c>
      <c r="H80" s="5" t="n">
        <v>0.7597222222222222</v>
      </c>
      <c r="I80" s="5" t="n">
        <v>0.25</v>
      </c>
      <c r="J80" s="3" t="n"/>
      <c r="K80" s="3" t="n"/>
      <c r="L80" s="3" t="n"/>
      <c r="M80" s="3" t="n"/>
      <c r="N80" s="3" t="n"/>
      <c r="O80" s="3" t="inlineStr"/>
      <c r="P80" s="6">
        <f>IF($C80="","",IF(COUNTIF($C$2:$C80,$C80)=1,1,0))</f>
        <v/>
      </c>
    </row>
    <row r="81">
      <c r="A81" s="2" t="n">
        <v>46273</v>
      </c>
      <c r="B81" s="3" t="n">
        <v>1</v>
      </c>
      <c r="C81" s="3" t="inlineStr">
        <is>
          <t>26I23</t>
        </is>
      </c>
      <c r="D81" s="3" t="inlineStr">
        <is>
          <t>MS 32009</t>
        </is>
      </c>
      <c r="E81" s="3" t="n">
        <v>260</v>
      </c>
      <c r="F81" s="4" t="n">
        <v>3.04</v>
      </c>
      <c r="G81" s="4" t="n">
        <v>790.4</v>
      </c>
      <c r="H81" s="5" t="n">
        <v>0.2243055555555556</v>
      </c>
      <c r="I81" s="5" t="n">
        <v>0.5520833333333334</v>
      </c>
      <c r="J81" s="3" t="n"/>
      <c r="K81" s="3" t="n"/>
      <c r="L81" s="3" t="n"/>
      <c r="M81" s="3" t="n"/>
      <c r="N81" s="3" t="n"/>
      <c r="O81" s="3" t="inlineStr"/>
      <c r="P81" s="6">
        <f>IF($C81="","",IF(COUNTIF($C$2:$C81,$C81)=1,1,0))</f>
        <v/>
      </c>
    </row>
    <row r="82">
      <c r="A82" s="2" t="n">
        <v>46273</v>
      </c>
      <c r="B82" s="3" t="n">
        <v>2</v>
      </c>
      <c r="C82" s="3" t="inlineStr">
        <is>
          <t>26I18</t>
        </is>
      </c>
      <c r="D82" s="3" t="inlineStr">
        <is>
          <t>MS 32012</t>
        </is>
      </c>
      <c r="E82" s="3" t="n">
        <v>450</v>
      </c>
      <c r="F82" s="4" t="n">
        <v>2.1</v>
      </c>
      <c r="G82" s="4" t="n">
        <v>945</v>
      </c>
      <c r="H82" s="5" t="n">
        <v>0.4680555555555556</v>
      </c>
      <c r="I82" s="5" t="n">
        <v>0.8215277777777777</v>
      </c>
      <c r="J82" s="3" t="n"/>
      <c r="K82" s="3" t="n"/>
      <c r="L82" s="3" t="n"/>
      <c r="M82" s="3" t="n"/>
      <c r="N82" s="3" t="n"/>
      <c r="O82" s="3" t="inlineStr"/>
      <c r="P82" s="6">
        <f>IF($C82="","",IF(COUNTIF($C$2:$C82,$C82)=1,1,0))</f>
        <v/>
      </c>
    </row>
    <row r="83">
      <c r="A83" s="2" t="n">
        <v>46273</v>
      </c>
      <c r="B83" s="3" t="n">
        <v>2</v>
      </c>
      <c r="C83" s="3" t="inlineStr">
        <is>
          <t>26I21</t>
        </is>
      </c>
      <c r="D83" s="3" t="inlineStr">
        <is>
          <t>MS 32009</t>
        </is>
      </c>
      <c r="E83" s="3" t="n">
        <v>260</v>
      </c>
      <c r="F83" s="4" t="n">
        <v>3.04</v>
      </c>
      <c r="G83" s="4" t="n">
        <v>790.4</v>
      </c>
      <c r="H83" s="5" t="n">
        <v>0.79375</v>
      </c>
      <c r="I83" s="5" t="n">
        <v>0.1472222222222222</v>
      </c>
      <c r="J83" s="3" t="n"/>
      <c r="K83" s="3" t="n"/>
      <c r="L83" s="3" t="n"/>
      <c r="M83" s="3" t="n"/>
      <c r="N83" s="3" t="n"/>
      <c r="O83" s="3" t="inlineStr"/>
      <c r="P83" s="6">
        <f>IF($C83="","",IF(COUNTIF($C$2:$C83,$C83)=1,1,0))</f>
        <v/>
      </c>
    </row>
    <row r="84">
      <c r="A84" s="2" t="n">
        <v>46273</v>
      </c>
      <c r="B84" s="3" t="n">
        <v>2</v>
      </c>
      <c r="C84" s="3" t="inlineStr">
        <is>
          <t>26I22</t>
        </is>
      </c>
      <c r="D84" s="3" t="inlineStr">
        <is>
          <t>MS 32012</t>
        </is>
      </c>
      <c r="E84" s="3" t="n">
        <v>450</v>
      </c>
      <c r="F84" s="4" t="n">
        <v>2.1</v>
      </c>
      <c r="G84" s="4" t="n">
        <v>945</v>
      </c>
      <c r="H84" s="5" t="n">
        <v>0.1194444444444445</v>
      </c>
      <c r="I84" s="5" t="n">
        <v>0.4631944444444445</v>
      </c>
      <c r="J84" s="3" t="n"/>
      <c r="K84" s="3" t="n"/>
      <c r="L84" s="3" t="n"/>
      <c r="M84" s="3" t="n"/>
      <c r="N84" s="3" t="n"/>
      <c r="O84" s="3" t="inlineStr"/>
      <c r="P84" s="6">
        <f>IF($C84="","",IF(COUNTIF($C$2:$C84,$C84)=1,1,0))</f>
        <v/>
      </c>
    </row>
    <row r="85">
      <c r="A85" s="7" t="n">
        <v>46273</v>
      </c>
      <c r="B85" s="8" t="n">
        <v>3</v>
      </c>
      <c r="C85" s="8" t="inlineStr">
        <is>
          <t>26I595</t>
        </is>
      </c>
      <c r="D85" s="8" t="inlineStr">
        <is>
          <t>MS 21017</t>
        </is>
      </c>
      <c r="E85" s="8" t="n">
        <v>150</v>
      </c>
      <c r="F85" s="9" t="n">
        <v>5.84</v>
      </c>
      <c r="G85" s="9" t="n">
        <v>876</v>
      </c>
      <c r="H85" s="10" t="n">
        <v>0.2902777777777778</v>
      </c>
      <c r="I85" s="10" t="n">
        <v>0.7361111111111112</v>
      </c>
      <c r="J85" s="8" t="n"/>
      <c r="K85" s="8" t="n"/>
      <c r="L85" s="8" t="n"/>
      <c r="M85" s="8" t="n"/>
      <c r="N85" s="8" t="n"/>
      <c r="O85" s="11" t="inlineStr">
        <is>
          <t>Rate/typo check needed</t>
        </is>
      </c>
      <c r="P85" s="6">
        <f>IF($C85="","",IF(COUNTIF($C$2:$C85,$C85)=1,1,0))</f>
        <v/>
      </c>
    </row>
    <row r="86">
      <c r="A86" s="2" t="n">
        <v>46273</v>
      </c>
      <c r="B86" s="3" t="n">
        <v>3</v>
      </c>
      <c r="C86" s="3" t="inlineStr">
        <is>
          <t>26I598</t>
        </is>
      </c>
      <c r="D86" s="3" t="inlineStr">
        <is>
          <t>MS 4463</t>
        </is>
      </c>
      <c r="E86" s="3" t="n">
        <v>150</v>
      </c>
      <c r="F86" s="4" t="n">
        <v>7.3</v>
      </c>
      <c r="G86" s="4" t="n">
        <v>1095</v>
      </c>
      <c r="H86" s="5" t="n">
        <v>0.7090277777777778</v>
      </c>
      <c r="I86" s="5" t="n">
        <v>0.1875</v>
      </c>
      <c r="J86" s="3" t="n"/>
      <c r="K86" s="3" t="n"/>
      <c r="L86" s="3" t="n"/>
      <c r="M86" s="3" t="n"/>
      <c r="N86" s="3" t="n"/>
      <c r="O86" s="3" t="inlineStr"/>
      <c r="P86" s="6">
        <f>IF($C86="","",IF(COUNTIF($C$2:$C86,$C86)=1,1,0))</f>
        <v/>
      </c>
    </row>
    <row r="87">
      <c r="A87" s="2" t="n">
        <v>46273</v>
      </c>
      <c r="B87" s="3" t="n">
        <v>3</v>
      </c>
      <c r="C87" s="3" t="inlineStr">
        <is>
          <t>ZI602</t>
        </is>
      </c>
      <c r="D87" s="3" t="inlineStr">
        <is>
          <t>B/G 20002</t>
        </is>
      </c>
      <c r="E87" s="3" t="n">
        <v>67</v>
      </c>
      <c r="F87" s="4" t="n">
        <v>15.58</v>
      </c>
      <c r="G87" s="4" t="n">
        <v>1043.86</v>
      </c>
      <c r="H87" s="5" t="n">
        <v>0.1611111111111111</v>
      </c>
      <c r="I87" s="5" t="n">
        <v>0.7361111111111112</v>
      </c>
      <c r="J87" s="3" t="n"/>
      <c r="K87" s="3" t="n"/>
      <c r="L87" s="3" t="n"/>
      <c r="M87" s="3" t="n"/>
      <c r="N87" s="3" t="n"/>
      <c r="O87" s="3" t="inlineStr"/>
      <c r="P87" s="6">
        <f>IF($C87="","",IF(COUNTIF($C$2:$C87,$C87)=1,1,0))</f>
        <v/>
      </c>
    </row>
    <row r="88">
      <c r="A88" s="2" t="n">
        <v>46273</v>
      </c>
      <c r="B88" s="3" t="n">
        <v>4</v>
      </c>
      <c r="C88" s="3" t="inlineStr">
        <is>
          <t>26I597</t>
        </is>
      </c>
      <c r="D88" s="3" t="inlineStr">
        <is>
          <t>MS 4529</t>
        </is>
      </c>
      <c r="E88" s="3" t="n">
        <v>262</v>
      </c>
      <c r="F88" s="4" t="n">
        <v>2.52</v>
      </c>
      <c r="G88" s="4" t="n">
        <v>660.24</v>
      </c>
      <c r="H88" s="5" t="n">
        <v>0.3034722222222222</v>
      </c>
      <c r="I88" s="5" t="n">
        <v>0.6909722222222222</v>
      </c>
      <c r="J88" s="3" t="n"/>
      <c r="K88" s="3" t="n"/>
      <c r="L88" s="3" t="n"/>
      <c r="M88" s="3" t="n"/>
      <c r="N88" s="3" t="n"/>
      <c r="O88" s="3" t="inlineStr"/>
      <c r="P88" s="6">
        <f>IF($C88="","",IF(COUNTIF($C$2:$C88,$C88)=1,1,0))</f>
        <v/>
      </c>
    </row>
    <row r="89">
      <c r="A89" s="2" t="n">
        <v>46273</v>
      </c>
      <c r="B89" s="3" t="n">
        <v>4</v>
      </c>
      <c r="C89" s="3" t="inlineStr">
        <is>
          <t>26I599</t>
        </is>
      </c>
      <c r="D89" s="3" t="inlineStr">
        <is>
          <t>MS 4435</t>
        </is>
      </c>
      <c r="E89" s="3" t="n">
        <v>132</v>
      </c>
      <c r="F89" s="4" t="n">
        <v>7.3</v>
      </c>
      <c r="G89" s="4" t="n">
        <v>963.6</v>
      </c>
      <c r="H89" s="5" t="n">
        <v>0.6631944444444444</v>
      </c>
      <c r="I89" s="5" t="n">
        <v>0.1493055555555556</v>
      </c>
      <c r="J89" s="3" t="n"/>
      <c r="K89" s="3" t="n"/>
      <c r="L89" s="3" t="n"/>
      <c r="M89" s="3" t="n"/>
      <c r="N89" s="3" t="n"/>
      <c r="O89" s="3" t="inlineStr"/>
      <c r="P89" s="6">
        <f>IF($C89="","",IF(COUNTIF($C$2:$C89,$C89)=1,1,0))</f>
        <v/>
      </c>
    </row>
    <row r="90">
      <c r="A90" s="2" t="n">
        <v>46273</v>
      </c>
      <c r="B90" s="3" t="n">
        <v>4</v>
      </c>
      <c r="C90" s="3" t="inlineStr">
        <is>
          <t>26I599</t>
        </is>
      </c>
      <c r="D90" s="3" t="inlineStr">
        <is>
          <t>MS 4463</t>
        </is>
      </c>
      <c r="E90" s="3" t="n">
        <v>18</v>
      </c>
      <c r="F90" s="4" t="n">
        <v>7.3</v>
      </c>
      <c r="G90" s="4" t="n">
        <v>131.4</v>
      </c>
      <c r="H90" s="5" t="n">
        <v>0.6631944444444444</v>
      </c>
      <c r="I90" s="5" t="n">
        <v>0.1493055555555556</v>
      </c>
      <c r="J90" s="3" t="n"/>
      <c r="K90" s="3" t="n"/>
      <c r="L90" s="3" t="n"/>
      <c r="M90" s="3" t="n"/>
      <c r="N90" s="3" t="n"/>
      <c r="O90" s="3" t="inlineStr"/>
      <c r="P90" s="6">
        <f>IF($C90="","",IF(COUNTIF($C$2:$C90,$C90)=1,1,0))</f>
        <v/>
      </c>
    </row>
    <row r="91">
      <c r="A91" s="2" t="n">
        <v>46273</v>
      </c>
      <c r="B91" s="3" t="n">
        <v>4</v>
      </c>
      <c r="C91" s="3" t="inlineStr">
        <is>
          <t>26I604</t>
        </is>
      </c>
      <c r="D91" s="3" t="inlineStr">
        <is>
          <t>MS 4463</t>
        </is>
      </c>
      <c r="E91" s="3" t="n">
        <v>150</v>
      </c>
      <c r="F91" s="4" t="n">
        <v>7.3</v>
      </c>
      <c r="G91" s="4" t="n">
        <v>1095</v>
      </c>
      <c r="H91" s="5" t="n">
        <v>0.1256944444444444</v>
      </c>
      <c r="I91" s="5" t="n">
        <v>0.6006944444444444</v>
      </c>
      <c r="J91" s="3" t="n"/>
      <c r="K91" s="3" t="n"/>
      <c r="L91" s="3" t="n"/>
      <c r="M91" s="3" t="n"/>
      <c r="N91" s="3" t="n"/>
      <c r="O91" s="3" t="inlineStr"/>
      <c r="P91" s="6">
        <f>IF($C91="","",IF(COUNTIF($C$2:$C91,$C91)=1,1,0))</f>
        <v/>
      </c>
    </row>
    <row r="92">
      <c r="A92" s="2" t="n">
        <v>46274</v>
      </c>
      <c r="B92" s="3" t="n">
        <v>1</v>
      </c>
      <c r="C92" s="3" t="inlineStr">
        <is>
          <t>26I24</t>
        </is>
      </c>
      <c r="D92" s="3" t="inlineStr">
        <is>
          <t>MS 32009</t>
        </is>
      </c>
      <c r="E92" s="3" t="n">
        <v>260</v>
      </c>
      <c r="F92" s="4" t="n">
        <v>3.04</v>
      </c>
      <c r="G92" s="4" t="n">
        <v>790.4</v>
      </c>
      <c r="H92" s="5" t="n">
        <v>0.5243055555555556</v>
      </c>
      <c r="I92" s="5" t="n">
        <v>0.8576388888888888</v>
      </c>
      <c r="J92" s="3" t="n"/>
      <c r="K92" s="3" t="n"/>
      <c r="L92" s="3" t="n"/>
      <c r="M92" s="3" t="n"/>
      <c r="N92" s="3" t="n"/>
      <c r="O92" s="3" t="inlineStr"/>
      <c r="P92" s="6">
        <f>IF($C92="","",IF(COUNTIF($C$2:$C92,$C92)=1,1,0))</f>
        <v/>
      </c>
    </row>
    <row r="93">
      <c r="A93" s="2" t="n">
        <v>46274</v>
      </c>
      <c r="B93" s="3" t="n">
        <v>1</v>
      </c>
      <c r="C93" s="3" t="inlineStr">
        <is>
          <t>26I25</t>
        </is>
      </c>
      <c r="D93" s="3" t="inlineStr">
        <is>
          <t>MS 32012</t>
        </is>
      </c>
      <c r="E93" s="3" t="n">
        <v>450</v>
      </c>
      <c r="F93" s="4" t="n">
        <v>2.1</v>
      </c>
      <c r="G93" s="4" t="n">
        <v>945</v>
      </c>
      <c r="H93" s="5" t="n">
        <v>0.8298611111111112</v>
      </c>
      <c r="I93" s="5" t="n">
        <v>0.1722222222222222</v>
      </c>
      <c r="J93" s="3" t="n"/>
      <c r="K93" s="3" t="n"/>
      <c r="L93" s="3" t="n"/>
      <c r="M93" s="3" t="n"/>
      <c r="N93" s="3" t="n"/>
      <c r="O93" s="3" t="inlineStr"/>
      <c r="P93" s="6">
        <f>IF($C93="","",IF(COUNTIF($C$2:$C93,$C93)=1,1,0))</f>
        <v/>
      </c>
    </row>
    <row r="94">
      <c r="A94" s="2" t="n">
        <v>46274</v>
      </c>
      <c r="B94" s="3" t="n">
        <v>1</v>
      </c>
      <c r="C94" s="3" t="inlineStr">
        <is>
          <t>26I27</t>
        </is>
      </c>
      <c r="D94" s="3" t="inlineStr">
        <is>
          <t>MS 32009</t>
        </is>
      </c>
      <c r="E94" s="3" t="n">
        <v>260</v>
      </c>
      <c r="F94" s="4" t="n">
        <v>3.04</v>
      </c>
      <c r="G94" s="4" t="n">
        <v>790.4</v>
      </c>
      <c r="H94" s="5" t="n">
        <v>0.1430555555555555</v>
      </c>
      <c r="I94" s="5" t="n">
        <v>0.4652777777777778</v>
      </c>
      <c r="J94" s="3" t="n"/>
      <c r="K94" s="3" t="n"/>
      <c r="L94" s="3" t="n"/>
      <c r="M94" s="3" t="n"/>
      <c r="N94" s="3" t="n"/>
      <c r="O94" s="3" t="inlineStr"/>
      <c r="P94" s="6">
        <f>IF($C94="","",IF(COUNTIF($C$2:$C94,$C94)=1,1,0))</f>
        <v/>
      </c>
    </row>
    <row r="95">
      <c r="A95" s="2" t="n">
        <v>46274</v>
      </c>
      <c r="B95" s="3" t="n">
        <v>2</v>
      </c>
      <c r="C95" s="3" t="inlineStr">
        <is>
          <t>26I603</t>
        </is>
      </c>
      <c r="D95" s="3" t="inlineStr">
        <is>
          <t>B/G 18000</t>
        </is>
      </c>
      <c r="E95" s="3" t="n">
        <v>70</v>
      </c>
      <c r="F95" s="4" t="n">
        <v>15.38</v>
      </c>
      <c r="G95" s="4" t="n">
        <v>1076.6</v>
      </c>
      <c r="H95" s="5" t="n">
        <v>0.4354166666666667</v>
      </c>
      <c r="I95" s="5" t="n">
        <v>0.9777777777777777</v>
      </c>
      <c r="J95" s="3" t="n"/>
      <c r="K95" s="3" t="n"/>
      <c r="L95" s="3" t="n"/>
      <c r="M95" s="3" t="n"/>
      <c r="N95" s="3" t="n"/>
      <c r="O95" s="3" t="inlineStr"/>
      <c r="P95" s="6">
        <f>IF($C95="","",IF(COUNTIF($C$2:$C95,$C95)=1,1,0))</f>
        <v/>
      </c>
    </row>
    <row r="96">
      <c r="A96" s="2" t="n">
        <v>46274</v>
      </c>
      <c r="B96" s="3" t="n">
        <v>2</v>
      </c>
      <c r="C96" s="3" t="inlineStr">
        <is>
          <t>26I607</t>
        </is>
      </c>
      <c r="D96" s="3" t="inlineStr">
        <is>
          <t>MS 14014</t>
        </is>
      </c>
      <c r="E96" s="3" t="n">
        <v>32</v>
      </c>
      <c r="F96" s="4" t="n">
        <v>30</v>
      </c>
      <c r="G96" s="4" t="n">
        <v>960</v>
      </c>
      <c r="H96" s="5" t="n">
        <v>0.9479166666666666</v>
      </c>
      <c r="I96" s="5" t="n">
        <v>0.6125</v>
      </c>
      <c r="J96" s="3" t="n"/>
      <c r="K96" s="3" t="n"/>
      <c r="L96" s="3" t="n"/>
      <c r="M96" s="3" t="n"/>
      <c r="N96" s="3" t="n"/>
      <c r="O96" s="3" t="inlineStr"/>
      <c r="P96" s="6">
        <f>IF($C96="","",IF(COUNTIF($C$2:$C96,$C96)=1,1,0))</f>
        <v/>
      </c>
    </row>
    <row r="97">
      <c r="A97" s="2" t="n">
        <v>46274</v>
      </c>
      <c r="B97" s="3" t="n">
        <v>3</v>
      </c>
      <c r="C97" s="3" t="inlineStr">
        <is>
          <t>26I606</t>
        </is>
      </c>
      <c r="D97" s="3" t="inlineStr">
        <is>
          <t>MS 4463</t>
        </is>
      </c>
      <c r="E97" s="3" t="n">
        <v>123</v>
      </c>
      <c r="F97" s="4" t="n">
        <v>7.3</v>
      </c>
      <c r="G97" s="4" t="n">
        <v>897.9</v>
      </c>
      <c r="H97" s="5" t="n">
        <v>0.7090277777777778</v>
      </c>
      <c r="I97" s="5" t="n">
        <v>0.2291666666666667</v>
      </c>
      <c r="J97" s="3" t="n"/>
      <c r="K97" s="3" t="n"/>
      <c r="L97" s="3" t="n"/>
      <c r="M97" s="3" t="n"/>
      <c r="N97" s="3" t="n"/>
      <c r="O97" s="3" t="inlineStr"/>
      <c r="P97" s="6">
        <f>IF($C97="","",IF(COUNTIF($C$2:$C97,$C97)=1,1,0))</f>
        <v/>
      </c>
    </row>
    <row r="98">
      <c r="A98" s="2" t="n">
        <v>46274</v>
      </c>
      <c r="B98" s="3" t="n">
        <v>3</v>
      </c>
      <c r="C98" s="3" t="inlineStr">
        <is>
          <t>26I606</t>
        </is>
      </c>
      <c r="D98" s="3" t="inlineStr">
        <is>
          <t>B/G 2066</t>
        </is>
      </c>
      <c r="E98" s="3" t="n">
        <v>10</v>
      </c>
      <c r="F98" s="4" t="n">
        <v>10.08</v>
      </c>
      <c r="G98" s="4" t="n">
        <v>100.8</v>
      </c>
      <c r="H98" s="5" t="n">
        <v>0.7090277777777778</v>
      </c>
      <c r="I98" s="5" t="n">
        <v>0.2291666666666667</v>
      </c>
      <c r="J98" s="3" t="n"/>
      <c r="K98" s="3" t="n"/>
      <c r="L98" s="3" t="n"/>
      <c r="M98" s="3" t="n"/>
      <c r="N98" s="3" t="n"/>
      <c r="O98" s="3" t="inlineStr"/>
      <c r="P98" s="6">
        <f>IF($C98="","",IF(COUNTIF($C$2:$C98,$C98)=1,1,0))</f>
        <v/>
      </c>
    </row>
    <row r="99">
      <c r="A99" s="7" t="n">
        <v>46274</v>
      </c>
      <c r="B99" s="8" t="n">
        <v>3</v>
      </c>
      <c r="C99" s="8" t="inlineStr">
        <is>
          <t>26I610</t>
        </is>
      </c>
      <c r="D99" s="8" t="inlineStr">
        <is>
          <t>MS 4435</t>
        </is>
      </c>
      <c r="E99" s="8" t="n">
        <v>150</v>
      </c>
      <c r="F99" s="9" t="n">
        <v>8.300000000000001</v>
      </c>
      <c r="G99" s="9" t="n">
        <v>1245</v>
      </c>
      <c r="H99" s="10" t="n">
        <v>0.1986111111111111</v>
      </c>
      <c r="I99" s="10" t="n">
        <v>0.6770833333333334</v>
      </c>
      <c r="J99" s="8" t="n"/>
      <c r="K99" s="8" t="n"/>
      <c r="L99" s="8" t="n"/>
      <c r="M99" s="8" t="n"/>
      <c r="N99" s="8" t="n"/>
      <c r="O99" s="11" t="inlineStr">
        <is>
          <t>Rate/typo check needed</t>
        </is>
      </c>
      <c r="P99" s="6">
        <f>IF($C99="","",IF(COUNTIF($C$2:$C99,$C99)=1,1,0))</f>
        <v/>
      </c>
    </row>
    <row r="100">
      <c r="A100" s="2" t="n">
        <v>46274</v>
      </c>
      <c r="B100" s="3" t="n">
        <v>4</v>
      </c>
      <c r="C100" s="3" t="inlineStr">
        <is>
          <t>26I605</t>
        </is>
      </c>
      <c r="D100" s="3" t="inlineStr">
        <is>
          <t>MS 4344</t>
        </is>
      </c>
      <c r="E100" s="3" t="n">
        <v>321</v>
      </c>
      <c r="F100" s="4" t="n">
        <v>2.88</v>
      </c>
      <c r="G100" s="4" t="n">
        <v>924.48</v>
      </c>
      <c r="H100" s="5" t="n">
        <v>0.5743055555555555</v>
      </c>
      <c r="I100" s="5" t="n">
        <v>0.06597222222222222</v>
      </c>
      <c r="J100" s="3" t="n"/>
      <c r="K100" s="3" t="n"/>
      <c r="L100" s="3" t="n"/>
      <c r="M100" s="3" t="n"/>
      <c r="N100" s="3" t="n"/>
      <c r="O100" s="3" t="inlineStr"/>
      <c r="P100" s="6">
        <f>IF($C100="","",IF(COUNTIF($C$2:$C100,$C100)=1,1,0))</f>
        <v/>
      </c>
    </row>
    <row r="101">
      <c r="A101" s="2" t="n">
        <v>46274</v>
      </c>
      <c r="B101" s="3" t="n">
        <v>4</v>
      </c>
      <c r="C101" s="3" t="inlineStr">
        <is>
          <t>26I609</t>
        </is>
      </c>
      <c r="D101" s="3" t="inlineStr">
        <is>
          <t>MS 23011</t>
        </is>
      </c>
      <c r="E101" s="3" t="n">
        <v>685</v>
      </c>
      <c r="F101" s="4" t="n">
        <v>0.64</v>
      </c>
      <c r="G101" s="4" t="n">
        <v>438.4</v>
      </c>
      <c r="H101" s="5" t="n">
        <v>0.0375</v>
      </c>
      <c r="I101" s="5" t="n">
        <v>0.4131944444444444</v>
      </c>
      <c r="J101" s="3" t="n"/>
      <c r="K101" s="3" t="n"/>
      <c r="L101" s="3" t="n"/>
      <c r="M101" s="3" t="n"/>
      <c r="N101" s="3" t="n"/>
      <c r="O101" s="3" t="inlineStr"/>
      <c r="P101" s="6">
        <f>IF($C101="","",IF(COUNTIF($C$2:$C101,$C101)=1,1,0))</f>
        <v/>
      </c>
    </row>
    <row r="102">
      <c r="A102" s="2" t="n">
        <v>46274</v>
      </c>
      <c r="B102" s="3" t="n">
        <v>4</v>
      </c>
      <c r="C102" s="3" t="inlineStr">
        <is>
          <t>26I609</t>
        </is>
      </c>
      <c r="D102" s="3" t="inlineStr">
        <is>
          <t>MS 3003</t>
        </is>
      </c>
      <c r="E102" s="3" t="n">
        <v>480</v>
      </c>
      <c r="F102" s="4" t="n">
        <v>1.2</v>
      </c>
      <c r="G102" s="4" t="n">
        <v>576</v>
      </c>
      <c r="H102" s="5" t="n">
        <v>0.0375</v>
      </c>
      <c r="I102" s="5" t="n">
        <v>0.4131944444444444</v>
      </c>
      <c r="J102" s="3" t="n"/>
      <c r="K102" s="3" t="n"/>
      <c r="L102" s="3" t="n"/>
      <c r="M102" s="3" t="n"/>
      <c r="N102" s="3" t="n"/>
      <c r="O102" s="3" t="inlineStr"/>
      <c r="P102" s="6">
        <f>IF($C102="","",IF(COUNTIF($C$2:$C102,$C102)=1,1,0))</f>
        <v/>
      </c>
    </row>
    <row r="103">
      <c r="A103" s="2" t="n">
        <v>46275</v>
      </c>
      <c r="B103" s="3" t="n">
        <v>1</v>
      </c>
      <c r="C103" s="3" t="inlineStr">
        <is>
          <t>26I613</t>
        </is>
      </c>
      <c r="D103" s="3" t="inlineStr">
        <is>
          <t>MS 9064</t>
        </is>
      </c>
      <c r="E103" s="3" t="n">
        <v>150</v>
      </c>
      <c r="F103" s="4" t="n">
        <v>6.92</v>
      </c>
      <c r="G103" s="4" t="n">
        <v>1038</v>
      </c>
      <c r="H103" s="5" t="n">
        <v>0.4472222222222222</v>
      </c>
      <c r="I103" s="5" t="n">
        <v>0.5277777777777778</v>
      </c>
      <c r="J103" s="3" t="n"/>
      <c r="K103" s="3" t="n"/>
      <c r="L103" s="3" t="n"/>
      <c r="M103" s="3" t="n"/>
      <c r="N103" s="3" t="n"/>
      <c r="O103" s="3" t="inlineStr"/>
      <c r="P103" s="6">
        <f>IF($C103="","",IF(COUNTIF($C$2:$C103,$C103)=1,1,0))</f>
        <v/>
      </c>
    </row>
    <row r="104">
      <c r="A104" s="2" t="n">
        <v>46275</v>
      </c>
      <c r="B104" s="3" t="n">
        <v>1</v>
      </c>
      <c r="C104" s="3" t="inlineStr">
        <is>
          <t>26I29</t>
        </is>
      </c>
      <c r="D104" s="3" t="inlineStr">
        <is>
          <t>MS 32009</t>
        </is>
      </c>
      <c r="E104" s="3" t="n">
        <v>260</v>
      </c>
      <c r="F104" s="4" t="n">
        <v>3.04</v>
      </c>
      <c r="G104" s="4" t="n">
        <v>790.4</v>
      </c>
      <c r="H104" s="5" t="n">
        <v>0.9236111111111112</v>
      </c>
      <c r="I104" s="5" t="n">
        <v>0.2569444444444444</v>
      </c>
      <c r="J104" s="3" t="n"/>
      <c r="K104" s="3" t="n"/>
      <c r="L104" s="3" t="n"/>
      <c r="M104" s="3" t="n"/>
      <c r="N104" s="3" t="n"/>
      <c r="O104" s="3" t="inlineStr"/>
      <c r="P104" s="6">
        <f>IF($C104="","",IF(COUNTIF($C$2:$C104,$C104)=1,1,0))</f>
        <v/>
      </c>
    </row>
    <row r="105">
      <c r="A105" s="2" t="n">
        <v>46275</v>
      </c>
      <c r="B105" s="3" t="n">
        <v>1</v>
      </c>
      <c r="C105" s="3" t="inlineStr">
        <is>
          <t>26I30</t>
        </is>
      </c>
      <c r="D105" s="3" t="inlineStr">
        <is>
          <t>MS 32009</t>
        </is>
      </c>
      <c r="E105" s="3" t="n">
        <v>260</v>
      </c>
      <c r="F105" s="4" t="n">
        <v>3.04</v>
      </c>
      <c r="G105" s="4" t="n">
        <v>790.4</v>
      </c>
      <c r="H105" s="5" t="n">
        <v>0.2361111111111111</v>
      </c>
      <c r="I105" s="5" t="n">
        <v>0.5729166666666666</v>
      </c>
      <c r="J105" s="3" t="n"/>
      <c r="K105" s="3" t="n"/>
      <c r="L105" s="3" t="n"/>
      <c r="M105" s="3" t="n"/>
      <c r="N105" s="3" t="n"/>
      <c r="O105" s="3" t="inlineStr"/>
      <c r="P105" s="6">
        <f>IF($C105="","",IF(COUNTIF($C$2:$C105,$C105)=1,1,0))</f>
        <v/>
      </c>
    </row>
    <row r="106">
      <c r="A106" s="2" t="n">
        <v>46275</v>
      </c>
      <c r="B106" s="3" t="n">
        <v>2</v>
      </c>
      <c r="C106" s="3" t="inlineStr">
        <is>
          <t>26I26</t>
        </is>
      </c>
      <c r="D106" s="3" t="inlineStr">
        <is>
          <t>MS 32009</t>
        </is>
      </c>
      <c r="E106" s="3" t="n">
        <v>260</v>
      </c>
      <c r="F106" s="4" t="n">
        <v>3.04</v>
      </c>
      <c r="G106" s="4" t="n">
        <v>790.4</v>
      </c>
      <c r="H106" s="5" t="n">
        <v>0.5881944444444445</v>
      </c>
      <c r="I106" s="5" t="n">
        <v>0.9416666666666667</v>
      </c>
      <c r="J106" s="3" t="n"/>
      <c r="K106" s="3" t="n"/>
      <c r="L106" s="3" t="n"/>
      <c r="M106" s="3" t="n"/>
      <c r="N106" s="3" t="n"/>
      <c r="O106" s="3" t="inlineStr"/>
      <c r="P106" s="6">
        <f>IF($C106="","",IF(COUNTIF($C$2:$C106,$C106)=1,1,0))</f>
        <v/>
      </c>
    </row>
    <row r="107">
      <c r="A107" s="2" t="n">
        <v>46275</v>
      </c>
      <c r="B107" s="3" t="n">
        <v>2</v>
      </c>
      <c r="C107" s="3" t="inlineStr">
        <is>
          <t>26I28</t>
        </is>
      </c>
      <c r="D107" s="3" t="inlineStr">
        <is>
          <t>MS 32012</t>
        </is>
      </c>
      <c r="E107" s="3" t="n">
        <v>450</v>
      </c>
      <c r="F107" s="4" t="n">
        <v>2.1</v>
      </c>
      <c r="G107" s="4" t="n">
        <v>945</v>
      </c>
      <c r="H107" s="5" t="n">
        <v>0.9201388888888888</v>
      </c>
      <c r="I107" s="5" t="n">
        <v>0.2708333333333333</v>
      </c>
      <c r="J107" s="3" t="n"/>
      <c r="K107" s="3" t="n"/>
      <c r="L107" s="3" t="n"/>
      <c r="M107" s="3" t="n"/>
      <c r="N107" s="3" t="n"/>
      <c r="O107" s="3" t="inlineStr"/>
      <c r="P107" s="6">
        <f>IF($C107="","",IF(COUNTIF($C$2:$C107,$C107)=1,1,0))</f>
        <v/>
      </c>
    </row>
    <row r="108">
      <c r="A108" s="2" t="n">
        <v>46275</v>
      </c>
      <c r="B108" s="3" t="n">
        <v>2</v>
      </c>
      <c r="C108" s="3" t="inlineStr">
        <is>
          <t>26I31</t>
        </is>
      </c>
      <c r="D108" s="3" t="inlineStr">
        <is>
          <t>MS 32009</t>
        </is>
      </c>
      <c r="E108" s="3" t="n">
        <v>260</v>
      </c>
      <c r="F108" s="4" t="n">
        <v>3.04</v>
      </c>
      <c r="G108" s="4" t="n">
        <v>790.4</v>
      </c>
      <c r="H108" s="5" t="n">
        <v>0.2423611111111111</v>
      </c>
      <c r="I108" s="5" t="n">
        <v>0.5972222222222222</v>
      </c>
      <c r="J108" s="3" t="n"/>
      <c r="K108" s="3" t="n"/>
      <c r="L108" s="3" t="n"/>
      <c r="M108" s="3" t="n"/>
      <c r="N108" s="3" t="n"/>
      <c r="O108" s="3" t="inlineStr"/>
      <c r="P108" s="6">
        <f>IF($C108="","",IF(COUNTIF($C$2:$C108,$C108)=1,1,0))</f>
        <v/>
      </c>
    </row>
    <row r="109">
      <c r="A109" s="2" t="n">
        <v>46275</v>
      </c>
      <c r="B109" s="3" t="n">
        <v>3</v>
      </c>
      <c r="C109" s="3" t="inlineStr">
        <is>
          <t>26I614</t>
        </is>
      </c>
      <c r="D109" s="3" t="inlineStr">
        <is>
          <t>MS 4435</t>
        </is>
      </c>
      <c r="E109" s="3" t="n">
        <v>141</v>
      </c>
      <c r="F109" s="4" t="n">
        <v>7.3</v>
      </c>
      <c r="G109" s="4" t="n">
        <v>1029.3</v>
      </c>
      <c r="H109" s="5" t="n">
        <v>0.65</v>
      </c>
      <c r="I109" s="5" t="n">
        <v>0.1361111111111111</v>
      </c>
      <c r="J109" s="3" t="n"/>
      <c r="K109" s="3" t="n"/>
      <c r="L109" s="3" t="n"/>
      <c r="M109" s="3" t="n"/>
      <c r="N109" s="3" t="n"/>
      <c r="O109" s="3" t="inlineStr"/>
      <c r="P109" s="6">
        <f>IF($C109="","",IF(COUNTIF($C$2:$C109,$C109)=1,1,0))</f>
        <v/>
      </c>
    </row>
    <row r="110">
      <c r="A110" s="2" t="n">
        <v>46275</v>
      </c>
      <c r="B110" s="3" t="n">
        <v>3</v>
      </c>
      <c r="C110" s="3" t="inlineStr">
        <is>
          <t>26I614</t>
        </is>
      </c>
      <c r="D110" s="3" t="inlineStr">
        <is>
          <t>MS 4463</t>
        </is>
      </c>
      <c r="E110" s="3" t="n">
        <v>9</v>
      </c>
      <c r="F110" s="4" t="n">
        <v>7.3</v>
      </c>
      <c r="G110" s="4" t="n">
        <v>65.7</v>
      </c>
      <c r="H110" s="5" t="n">
        <v>0.65</v>
      </c>
      <c r="I110" s="5" t="n">
        <v>0.1361111111111111</v>
      </c>
      <c r="J110" s="3" t="n"/>
      <c r="K110" s="3" t="n"/>
      <c r="L110" s="3" t="n"/>
      <c r="M110" s="3" t="n"/>
      <c r="N110" s="3" t="n"/>
      <c r="O110" s="3" t="inlineStr"/>
      <c r="P110" s="6">
        <f>IF($C110="","",IF(COUNTIF($C$2:$C110,$C110)=1,1,0))</f>
        <v/>
      </c>
    </row>
    <row r="111">
      <c r="A111" s="2" t="n">
        <v>46275</v>
      </c>
      <c r="B111" s="3" t="n">
        <v>3</v>
      </c>
      <c r="C111" s="3" t="inlineStr">
        <is>
          <t>26I617</t>
        </is>
      </c>
      <c r="D111" s="3" t="inlineStr">
        <is>
          <t>MS 4463</t>
        </is>
      </c>
      <c r="E111" s="3" t="n">
        <v>125</v>
      </c>
      <c r="F111" s="4" t="n">
        <v>7.3</v>
      </c>
      <c r="G111" s="4" t="n">
        <v>912.5</v>
      </c>
      <c r="H111" s="5" t="n">
        <v>0.1131944444444444</v>
      </c>
      <c r="I111" s="5" t="n">
        <v>0.5833333333333334</v>
      </c>
      <c r="J111" s="3" t="n"/>
      <c r="K111" s="3" t="n"/>
      <c r="L111" s="3" t="n"/>
      <c r="M111" s="3" t="n"/>
      <c r="N111" s="3" t="n"/>
      <c r="O111" s="3" t="inlineStr"/>
      <c r="P111" s="6">
        <f>IF($C111="","",IF(COUNTIF($C$2:$C111,$C111)=1,1,0))</f>
        <v/>
      </c>
    </row>
    <row r="112">
      <c r="A112" s="2" t="n">
        <v>46275</v>
      </c>
      <c r="B112" s="3" t="n">
        <v>3</v>
      </c>
      <c r="C112" s="3" t="inlineStr">
        <is>
          <t>26I617</t>
        </is>
      </c>
      <c r="D112" s="3" t="n">
        <v>4435</v>
      </c>
      <c r="E112" s="3" t="n">
        <v>25</v>
      </c>
      <c r="F112" s="4" t="n">
        <v>7.3</v>
      </c>
      <c r="G112" s="4" t="n">
        <v>182.5</v>
      </c>
      <c r="H112" s="5" t="n">
        <v>0.1131944444444444</v>
      </c>
      <c r="I112" s="5" t="n">
        <v>0.5833333333333334</v>
      </c>
      <c r="J112" s="3" t="n"/>
      <c r="K112" s="3" t="n"/>
      <c r="L112" s="3" t="n"/>
      <c r="M112" s="3" t="n"/>
      <c r="N112" s="3" t="n"/>
      <c r="O112" s="3" t="inlineStr"/>
      <c r="P112" s="6">
        <f>IF($C112="","",IF(COUNTIF($C$2:$C112,$C112)=1,1,0))</f>
        <v/>
      </c>
    </row>
    <row r="113">
      <c r="A113" s="2" t="n">
        <v>46275</v>
      </c>
      <c r="B113" s="3" t="n">
        <v>4</v>
      </c>
      <c r="C113" s="3" t="inlineStr">
        <is>
          <t>26I611</t>
        </is>
      </c>
      <c r="D113" s="3" t="inlineStr">
        <is>
          <t>MS 4529</t>
        </is>
      </c>
      <c r="E113" s="3" t="n">
        <v>250</v>
      </c>
      <c r="F113" s="4" t="n">
        <v>2.52</v>
      </c>
      <c r="G113" s="4" t="n">
        <v>630</v>
      </c>
      <c r="H113" s="5" t="n">
        <v>0.3847222222222222</v>
      </c>
      <c r="I113" s="5" t="n">
        <v>0.7930555555555555</v>
      </c>
      <c r="J113" s="3" t="n"/>
      <c r="K113" s="3" t="n"/>
      <c r="L113" s="3" t="n"/>
      <c r="M113" s="3" t="n"/>
      <c r="N113" s="3" t="n"/>
      <c r="O113" s="3" t="inlineStr"/>
      <c r="P113" s="6">
        <f>IF($C113="","",IF(COUNTIF($C$2:$C113,$C113)=1,1,0))</f>
        <v/>
      </c>
    </row>
    <row r="114">
      <c r="A114" s="2" t="n">
        <v>46275</v>
      </c>
      <c r="B114" s="3" t="n">
        <v>4</v>
      </c>
      <c r="C114" s="3" t="inlineStr">
        <is>
          <t>26I611</t>
        </is>
      </c>
      <c r="D114" s="3" t="inlineStr">
        <is>
          <t>MS 3019</t>
        </is>
      </c>
      <c r="E114" s="3" t="n">
        <v>250</v>
      </c>
      <c r="F114" s="4" t="n">
        <v>0.98</v>
      </c>
      <c r="G114" s="4" t="n">
        <v>245</v>
      </c>
      <c r="H114" s="5" t="n">
        <v>0.3847222222222222</v>
      </c>
      <c r="I114" s="5" t="n">
        <v>0.7930555555555555</v>
      </c>
      <c r="J114" s="3" t="n"/>
      <c r="K114" s="3" t="n"/>
      <c r="L114" s="3" t="n"/>
      <c r="M114" s="3" t="n"/>
      <c r="N114" s="3" t="n"/>
      <c r="O114" s="3" t="inlineStr"/>
      <c r="P114" s="6">
        <f>IF($C114="","",IF(COUNTIF($C$2:$C114,$C114)=1,1,0))</f>
        <v/>
      </c>
    </row>
    <row r="115">
      <c r="A115" s="2" t="n">
        <v>46275</v>
      </c>
      <c r="B115" s="3" t="n">
        <v>4</v>
      </c>
      <c r="C115" s="3" t="inlineStr">
        <is>
          <t>26I612</t>
        </is>
      </c>
      <c r="D115" s="3" t="inlineStr">
        <is>
          <t>B/G 18000</t>
        </is>
      </c>
      <c r="E115" s="3" t="n">
        <v>70</v>
      </c>
      <c r="F115" s="4" t="n">
        <v>15.38</v>
      </c>
      <c r="G115" s="4" t="n">
        <v>1076.6</v>
      </c>
      <c r="H115" s="5" t="n">
        <v>0.7666666666666667</v>
      </c>
      <c r="I115" s="5" t="n">
        <v>0.2708333333333333</v>
      </c>
      <c r="J115" s="3" t="n"/>
      <c r="K115" s="3" t="n"/>
      <c r="L115" s="3" t="n"/>
      <c r="M115" s="3" t="n"/>
      <c r="N115" s="3" t="n"/>
      <c r="O115" s="3" t="inlineStr"/>
      <c r="P115" s="6">
        <f>IF($C115="","",IF(COUNTIF($C$2:$C115,$C115)=1,1,0))</f>
        <v/>
      </c>
    </row>
    <row r="116">
      <c r="A116" s="2" t="n">
        <v>46275</v>
      </c>
      <c r="B116" s="3" t="n">
        <v>4</v>
      </c>
      <c r="C116" s="3" t="inlineStr">
        <is>
          <t>26I612</t>
        </is>
      </c>
      <c r="D116" s="3" t="inlineStr">
        <is>
          <t>MS 9067</t>
        </is>
      </c>
      <c r="E116" s="3" t="n">
        <v>12</v>
      </c>
      <c r="F116" s="4" t="n">
        <v>1.92</v>
      </c>
      <c r="G116" s="4" t="n">
        <v>23.04</v>
      </c>
      <c r="H116" s="5" t="n">
        <v>0.7666666666666667</v>
      </c>
      <c r="I116" s="5" t="n">
        <v>0.2708333333333333</v>
      </c>
      <c r="J116" s="3" t="n"/>
      <c r="K116" s="3" t="n"/>
      <c r="L116" s="3" t="n"/>
      <c r="M116" s="3" t="n"/>
      <c r="N116" s="3" t="n"/>
      <c r="O116" s="3" t="inlineStr"/>
      <c r="P116" s="6">
        <f>IF($C116="","",IF(COUNTIF($C$2:$C116,$C116)=1,1,0))</f>
        <v/>
      </c>
    </row>
    <row r="117">
      <c r="A117" s="2" t="n">
        <v>46275</v>
      </c>
      <c r="B117" s="3" t="n">
        <v>4</v>
      </c>
      <c r="C117" s="3" t="inlineStr">
        <is>
          <t>26I615</t>
        </is>
      </c>
      <c r="D117" s="3" t="inlineStr">
        <is>
          <t>MS 4532</t>
        </is>
      </c>
      <c r="E117" s="3" t="n">
        <v>470</v>
      </c>
      <c r="F117" s="4" t="n">
        <v>0.44</v>
      </c>
      <c r="G117" s="4" t="n">
        <v>206.8</v>
      </c>
      <c r="H117" s="5" t="n">
        <v>0.2486111111111111</v>
      </c>
      <c r="I117" s="5" t="n">
        <v>0.65625</v>
      </c>
      <c r="J117" s="3" t="n"/>
      <c r="K117" s="3" t="n"/>
      <c r="L117" s="3" t="n"/>
      <c r="M117" s="3" t="n"/>
      <c r="N117" s="3" t="n"/>
      <c r="O117" s="3" t="inlineStr"/>
      <c r="P117" s="6">
        <f>IF($C117="","",IF(COUNTIF($C$2:$C117,$C117)=1,1,0))</f>
        <v/>
      </c>
    </row>
    <row r="118">
      <c r="A118" s="2" t="n">
        <v>46275</v>
      </c>
      <c r="B118" s="3" t="n">
        <v>4</v>
      </c>
      <c r="C118" s="3" t="inlineStr">
        <is>
          <t>26I615</t>
        </is>
      </c>
      <c r="D118" s="3" t="inlineStr">
        <is>
          <t>MS 3003</t>
        </is>
      </c>
      <c r="E118" s="3" t="n">
        <v>560</v>
      </c>
      <c r="F118" s="4" t="n">
        <v>1.2</v>
      </c>
      <c r="G118" s="4" t="n">
        <v>672</v>
      </c>
      <c r="H118" s="5" t="n">
        <v>0.2486111111111111</v>
      </c>
      <c r="I118" s="5" t="n">
        <v>0.65625</v>
      </c>
      <c r="J118" s="3" t="n"/>
      <c r="K118" s="3" t="n"/>
      <c r="L118" s="3" t="n"/>
      <c r="M118" s="3" t="n"/>
      <c r="N118" s="3" t="n"/>
      <c r="O118" s="3" t="inlineStr"/>
      <c r="P118" s="6">
        <f>IF($C118="","",IF(COUNTIF($C$2:$C118,$C118)=1,1,0))</f>
        <v/>
      </c>
    </row>
    <row r="119">
      <c r="A119" s="2" t="n">
        <v>46276</v>
      </c>
      <c r="B119" s="3" t="n">
        <v>1</v>
      </c>
      <c r="C119" s="3" t="inlineStr">
        <is>
          <t>26I33</t>
        </is>
      </c>
      <c r="D119" s="3" t="inlineStr">
        <is>
          <t>MS 32009</t>
        </is>
      </c>
      <c r="E119" s="3" t="n">
        <v>260</v>
      </c>
      <c r="F119" s="4" t="n">
        <v>3.04</v>
      </c>
      <c r="G119" s="4" t="n">
        <v>790.4</v>
      </c>
      <c r="H119" s="5" t="n">
        <v>0.5444444444444444</v>
      </c>
      <c r="I119" s="5" t="n">
        <v>0.8819444444444444</v>
      </c>
      <c r="J119" s="3" t="n"/>
      <c r="K119" s="3" t="n"/>
      <c r="L119" s="3" t="n"/>
      <c r="M119" s="3" t="n"/>
      <c r="N119" s="3" t="n"/>
      <c r="O119" s="3" t="inlineStr"/>
      <c r="P119" s="6">
        <f>IF($C119="","",IF(COUNTIF($C$2:$C119,$C119)=1,1,0))</f>
        <v/>
      </c>
    </row>
    <row r="120">
      <c r="A120" s="2" t="n">
        <v>46276</v>
      </c>
      <c r="B120" s="3" t="n">
        <v>1</v>
      </c>
      <c r="C120" s="3" t="inlineStr">
        <is>
          <t>26I35</t>
        </is>
      </c>
      <c r="D120" s="3" t="inlineStr">
        <is>
          <t>MS 32009</t>
        </is>
      </c>
      <c r="E120" s="3" t="n">
        <v>260</v>
      </c>
      <c r="F120" s="4" t="n">
        <v>3.04</v>
      </c>
      <c r="G120" s="4" t="n">
        <v>790.4</v>
      </c>
      <c r="H120" s="5" t="n">
        <v>0.8555555555555555</v>
      </c>
      <c r="I120" s="5" t="n">
        <v>0.2013888888888889</v>
      </c>
      <c r="J120" s="3" t="n"/>
      <c r="K120" s="3" t="n"/>
      <c r="L120" s="3" t="n"/>
      <c r="M120" s="3" t="n"/>
      <c r="N120" s="3" t="n"/>
      <c r="O120" s="3" t="inlineStr"/>
      <c r="P120" s="6">
        <f>IF($C120="","",IF(COUNTIF($C$2:$C120,$C120)=1,1,0))</f>
        <v/>
      </c>
    </row>
    <row r="121">
      <c r="A121" s="2" t="n">
        <v>46276</v>
      </c>
      <c r="B121" s="3" t="n">
        <v>1</v>
      </c>
      <c r="C121" s="3" t="inlineStr">
        <is>
          <t>26I34</t>
        </is>
      </c>
      <c r="D121" s="3" t="inlineStr">
        <is>
          <t>MS 32012</t>
        </is>
      </c>
      <c r="E121" s="3" t="n">
        <v>450</v>
      </c>
      <c r="F121" s="4" t="n">
        <v>2.1</v>
      </c>
      <c r="G121" s="4" t="n">
        <v>945</v>
      </c>
      <c r="H121" s="5" t="n">
        <v>0.1652777777777778</v>
      </c>
      <c r="I121" s="5" t="n">
        <v>0.5138888888888888</v>
      </c>
      <c r="J121" s="3" t="n"/>
      <c r="K121" s="3" t="n"/>
      <c r="L121" s="3" t="n"/>
      <c r="M121" s="3" t="n"/>
      <c r="N121" s="3" t="n"/>
      <c r="O121" s="3" t="inlineStr"/>
      <c r="P121" s="6">
        <f>IF($C121="","",IF(COUNTIF($C$2:$C121,$C121)=1,1,0))</f>
        <v/>
      </c>
    </row>
    <row r="122">
      <c r="A122" s="2" t="n">
        <v>46276</v>
      </c>
      <c r="B122" s="3" t="n">
        <v>2</v>
      </c>
      <c r="C122" s="3" t="inlineStr">
        <is>
          <t>26I32</t>
        </is>
      </c>
      <c r="D122" s="3" t="inlineStr">
        <is>
          <t>MS 32012</t>
        </is>
      </c>
      <c r="E122" s="3" t="n">
        <v>450</v>
      </c>
      <c r="F122" s="4" t="n">
        <v>2.1</v>
      </c>
      <c r="G122" s="4" t="n">
        <v>945</v>
      </c>
      <c r="H122" s="5" t="n">
        <v>0.5708333333333333</v>
      </c>
      <c r="I122" s="5" t="n">
        <v>0.9222222222222223</v>
      </c>
      <c r="J122" s="3" t="n"/>
      <c r="K122" s="3" t="n"/>
      <c r="L122" s="3" t="n"/>
      <c r="M122" s="3" t="n"/>
      <c r="N122" s="3" t="n"/>
      <c r="O122" s="3" t="inlineStr"/>
      <c r="P122" s="6">
        <f>IF($C122="","",IF(COUNTIF($C$2:$C122,$C122)=1,1,0))</f>
        <v/>
      </c>
    </row>
    <row r="123">
      <c r="A123" s="2" t="n">
        <v>46276</v>
      </c>
      <c r="B123" s="3" t="n">
        <v>2</v>
      </c>
      <c r="C123" s="3" t="inlineStr">
        <is>
          <t>26I623</t>
        </is>
      </c>
      <c r="D123" s="3" t="inlineStr">
        <is>
          <t>MS 22011</t>
        </is>
      </c>
      <c r="E123" s="3" t="n">
        <v>5</v>
      </c>
      <c r="F123" s="4" t="n">
        <v>2.1</v>
      </c>
      <c r="G123" s="4" t="n">
        <v>10.5</v>
      </c>
      <c r="H123" s="5" t="n">
        <v>0.8958333333333334</v>
      </c>
      <c r="I123" s="5" t="n">
        <v>0.3875</v>
      </c>
      <c r="J123" s="3" t="n"/>
      <c r="K123" s="3" t="n"/>
      <c r="L123" s="3" t="n"/>
      <c r="M123" s="3" t="n"/>
      <c r="N123" s="3" t="n"/>
      <c r="O123" s="3" t="inlineStr"/>
      <c r="P123" s="6">
        <f>IF($C123="","",IF(COUNTIF($C$2:$C123,$C123)=1,1,0))</f>
        <v/>
      </c>
    </row>
    <row r="124">
      <c r="A124" s="2" t="n">
        <v>46276</v>
      </c>
      <c r="B124" s="3" t="n">
        <v>2</v>
      </c>
      <c r="C124" s="3" t="inlineStr">
        <is>
          <t>26I623</t>
        </is>
      </c>
      <c r="D124" s="3" t="inlineStr">
        <is>
          <t>MS 22012</t>
        </is>
      </c>
      <c r="E124" s="3" t="n">
        <v>5</v>
      </c>
      <c r="F124" s="4" t="n">
        <v>2.07</v>
      </c>
      <c r="G124" s="4" t="n">
        <v>10.35</v>
      </c>
      <c r="H124" s="5" t="n">
        <v>0.8958333333333334</v>
      </c>
      <c r="I124" s="5" t="n">
        <v>0.3875</v>
      </c>
      <c r="J124" s="3" t="n"/>
      <c r="K124" s="3" t="n"/>
      <c r="L124" s="3" t="n"/>
      <c r="M124" s="3" t="n"/>
      <c r="N124" s="3" t="n"/>
      <c r="O124" s="3" t="inlineStr"/>
      <c r="P124" s="6">
        <f>IF($C124="","",IF(COUNTIF($C$2:$C124,$C124)=1,1,0))</f>
        <v/>
      </c>
    </row>
    <row r="125">
      <c r="A125" s="2" t="n">
        <v>46276</v>
      </c>
      <c r="B125" s="3" t="n">
        <v>2</v>
      </c>
      <c r="C125" s="3" t="inlineStr">
        <is>
          <t>26I623</t>
        </is>
      </c>
      <c r="D125" s="3" t="inlineStr">
        <is>
          <t>B/G 18000</t>
        </is>
      </c>
      <c r="E125" s="3" t="n">
        <v>64</v>
      </c>
      <c r="F125" s="4" t="n">
        <v>15.38</v>
      </c>
      <c r="G125" s="4" t="n">
        <v>984.3200000000001</v>
      </c>
      <c r="H125" s="5" t="n">
        <v>0.8958333333333334</v>
      </c>
      <c r="I125" s="5" t="n">
        <v>0.3875</v>
      </c>
      <c r="J125" s="3" t="n"/>
      <c r="K125" s="3" t="n"/>
      <c r="L125" s="3" t="n"/>
      <c r="M125" s="3" t="n"/>
      <c r="N125" s="3" t="n"/>
      <c r="O125" s="3" t="inlineStr"/>
      <c r="P125" s="6">
        <f>IF($C125="","",IF(COUNTIF($C$2:$C125,$C125)=1,1,0))</f>
        <v/>
      </c>
    </row>
    <row r="126">
      <c r="A126" s="2" t="n">
        <v>46276</v>
      </c>
      <c r="B126" s="3" t="n">
        <v>3</v>
      </c>
      <c r="C126" s="3" t="inlineStr">
        <is>
          <t>26I616</t>
        </is>
      </c>
      <c r="D126" s="3" t="inlineStr">
        <is>
          <t>MS 4066</t>
        </is>
      </c>
      <c r="E126" s="3" t="n">
        <v>78</v>
      </c>
      <c r="F126" s="4" t="n">
        <v>7.82</v>
      </c>
      <c r="G126" s="4" t="n">
        <v>609.96</v>
      </c>
      <c r="H126" s="5" t="n">
        <v>0.5555555555555556</v>
      </c>
      <c r="I126" s="5" t="n">
        <v>0.9791666666666666</v>
      </c>
      <c r="J126" s="3" t="n"/>
      <c r="K126" s="3" t="n"/>
      <c r="L126" s="3" t="n"/>
      <c r="M126" s="3" t="n"/>
      <c r="N126" s="3" t="n"/>
      <c r="O126" s="3" t="inlineStr"/>
      <c r="P126" s="6">
        <f>IF($C126="","",IF(COUNTIF($C$2:$C126,$C126)=1,1,0))</f>
        <v/>
      </c>
    </row>
    <row r="127">
      <c r="A127" s="2" t="n">
        <v>46276</v>
      </c>
      <c r="B127" s="3" t="n">
        <v>3</v>
      </c>
      <c r="C127" s="3" t="inlineStr">
        <is>
          <t>26I616</t>
        </is>
      </c>
      <c r="D127" s="3" t="inlineStr">
        <is>
          <t>MS 4065</t>
        </is>
      </c>
      <c r="E127" s="3" t="n">
        <v>66</v>
      </c>
      <c r="F127" s="4" t="n">
        <v>7.82</v>
      </c>
      <c r="G127" s="4" t="n">
        <v>516.12</v>
      </c>
      <c r="H127" s="5" t="n">
        <v>0.5555555555555556</v>
      </c>
      <c r="I127" s="5" t="n">
        <v>0.9791666666666666</v>
      </c>
      <c r="J127" s="3" t="n"/>
      <c r="K127" s="3" t="n"/>
      <c r="L127" s="3" t="n"/>
      <c r="M127" s="3" t="n"/>
      <c r="N127" s="3" t="n"/>
      <c r="O127" s="3" t="inlineStr"/>
      <c r="P127" s="6">
        <f>IF($C127="","",IF(COUNTIF($C$2:$C127,$C127)=1,1,0))</f>
        <v/>
      </c>
    </row>
    <row r="128">
      <c r="A128" s="2" t="n">
        <v>46276</v>
      </c>
      <c r="B128" s="3" t="n">
        <v>3</v>
      </c>
      <c r="C128" s="3" t="inlineStr">
        <is>
          <t>26I600</t>
        </is>
      </c>
      <c r="D128" s="3" t="inlineStr">
        <is>
          <t>MS 9069</t>
        </is>
      </c>
      <c r="E128" s="3" t="n">
        <v>56</v>
      </c>
      <c r="F128" s="4" t="n">
        <v>10.7</v>
      </c>
      <c r="G128" s="4" t="n">
        <v>599.2</v>
      </c>
      <c r="H128" s="5" t="n">
        <v>0.9590277777777778</v>
      </c>
      <c r="I128" s="5" t="n">
        <v>0.4166666666666667</v>
      </c>
      <c r="J128" s="3" t="n"/>
      <c r="K128" s="3" t="n"/>
      <c r="L128" s="3" t="n"/>
      <c r="M128" s="3" t="n"/>
      <c r="N128" s="3" t="n"/>
      <c r="O128" s="3" t="inlineStr"/>
      <c r="P128" s="6">
        <f>IF($C128="","",IF(COUNTIF($C$2:$C128,$C128)=1,1,0))</f>
        <v/>
      </c>
    </row>
    <row r="129">
      <c r="A129" s="2" t="n">
        <v>46276</v>
      </c>
      <c r="B129" s="3" t="n">
        <v>4</v>
      </c>
      <c r="C129" s="3" t="inlineStr">
        <is>
          <t>26I618</t>
        </is>
      </c>
      <c r="D129" s="3" t="inlineStr">
        <is>
          <t>MS 9034</t>
        </is>
      </c>
      <c r="E129" s="3" t="n">
        <v>1500</v>
      </c>
      <c r="F129" s="4" t="n">
        <v>0.32</v>
      </c>
      <c r="G129" s="4" t="n">
        <v>480</v>
      </c>
      <c r="H129" s="5" t="n">
        <v>0.6284722222222222</v>
      </c>
      <c r="I129" s="5" t="n">
        <v>0.9513888888888888</v>
      </c>
      <c r="J129" s="3" t="n"/>
      <c r="K129" s="3" t="n"/>
      <c r="L129" s="3" t="n"/>
      <c r="M129" s="3" t="n"/>
      <c r="N129" s="3" t="n"/>
      <c r="O129" s="3" t="inlineStr"/>
      <c r="P129" s="6">
        <f>IF($C129="","",IF(COUNTIF($C$2:$C129,$C129)=1,1,0))</f>
        <v/>
      </c>
    </row>
    <row r="130">
      <c r="A130" s="2" t="n">
        <v>46276</v>
      </c>
      <c r="B130" s="3" t="n">
        <v>4</v>
      </c>
      <c r="C130" s="3" t="inlineStr">
        <is>
          <t>26I624</t>
        </is>
      </c>
      <c r="D130" s="3" t="inlineStr">
        <is>
          <t>MS 9067</t>
        </is>
      </c>
      <c r="E130" s="3" t="n">
        <v>552</v>
      </c>
      <c r="F130" s="4" t="n">
        <v>1.92</v>
      </c>
      <c r="G130" s="4" t="n">
        <v>1059.84</v>
      </c>
      <c r="H130" s="5" t="n">
        <v>0.9638888888888889</v>
      </c>
      <c r="I130" s="5" t="n">
        <v>0.4722222222222222</v>
      </c>
      <c r="J130" s="3" t="n"/>
      <c r="K130" s="3" t="n"/>
      <c r="L130" s="3" t="n"/>
      <c r="M130" s="3" t="n"/>
      <c r="N130" s="3" t="n"/>
      <c r="O130" s="3" t="inlineStr"/>
      <c r="P130" s="6">
        <f>IF($C130="","",IF(COUNTIF($C$2:$C130,$C130)=1,1,0))</f>
        <v/>
      </c>
    </row>
    <row r="131">
      <c r="A131" s="2" t="n">
        <v>46277</v>
      </c>
      <c r="B131" s="3" t="n">
        <v>1</v>
      </c>
      <c r="C131" s="3" t="inlineStr">
        <is>
          <t>26I37</t>
        </is>
      </c>
      <c r="D131" s="3" t="n">
        <v>32012</v>
      </c>
      <c r="E131" s="3" t="n">
        <v>450</v>
      </c>
      <c r="F131" s="4" t="n">
        <v>2.1</v>
      </c>
      <c r="G131" s="4" t="n">
        <v>945</v>
      </c>
      <c r="H131" s="5" t="n">
        <v>0.4833333333333333</v>
      </c>
      <c r="I131" s="5" t="n">
        <v>0.8333333333333334</v>
      </c>
      <c r="J131" s="3" t="n"/>
      <c r="K131" s="3" t="n"/>
      <c r="L131" s="3" t="n"/>
      <c r="M131" s="3" t="n"/>
      <c r="N131" s="3" t="n"/>
      <c r="O131" s="3" t="inlineStr"/>
      <c r="P131" s="6">
        <f>IF($C131="","",IF(COUNTIF($C$2:$C131,$C131)=1,1,0))</f>
        <v/>
      </c>
    </row>
    <row r="132">
      <c r="A132" s="2" t="n">
        <v>46277</v>
      </c>
      <c r="B132" s="3" t="n">
        <v>1</v>
      </c>
      <c r="C132" s="3" t="inlineStr">
        <is>
          <t>26I628</t>
        </is>
      </c>
      <c r="D132" s="3" t="n">
        <v>9064</v>
      </c>
      <c r="E132" s="3" t="n">
        <v>150</v>
      </c>
      <c r="F132" s="4" t="n">
        <v>6.92</v>
      </c>
      <c r="G132" s="4" t="n">
        <v>1038</v>
      </c>
      <c r="H132" s="5" t="n">
        <v>0.8041666666666667</v>
      </c>
      <c r="I132" s="5" t="n">
        <v>0.3055555555555556</v>
      </c>
      <c r="J132" s="3" t="n"/>
      <c r="K132" s="3" t="n"/>
      <c r="L132" s="3" t="n"/>
      <c r="M132" s="3" t="n"/>
      <c r="N132" s="3" t="n"/>
      <c r="O132" s="3" t="inlineStr"/>
      <c r="P132" s="6">
        <f>IF($C132="","",IF(COUNTIF($C$2:$C132,$C132)=1,1,0))</f>
        <v/>
      </c>
    </row>
    <row r="133">
      <c r="A133" s="2" t="n">
        <v>46277</v>
      </c>
      <c r="B133" s="3" t="n">
        <v>1</v>
      </c>
      <c r="C133" s="3" t="inlineStr">
        <is>
          <t>26I38</t>
        </is>
      </c>
      <c r="D133" s="3" t="n">
        <v>32012</v>
      </c>
      <c r="E133" s="3" t="n">
        <v>450</v>
      </c>
      <c r="F133" s="4" t="n">
        <v>2.1</v>
      </c>
      <c r="G133" s="4" t="n">
        <v>945</v>
      </c>
      <c r="H133" s="5" t="n">
        <v>0.2770833333333333</v>
      </c>
      <c r="I133" s="5" t="n">
        <v>0.6319444444444444</v>
      </c>
      <c r="J133" s="3" t="n"/>
      <c r="K133" s="3" t="n"/>
      <c r="L133" s="3" t="n"/>
      <c r="M133" s="3" t="n"/>
      <c r="N133" s="3" t="n"/>
      <c r="O133" s="3" t="inlineStr"/>
      <c r="P133" s="6">
        <f>IF($C133="","",IF(COUNTIF($C$2:$C133,$C133)=1,1,0))</f>
        <v/>
      </c>
    </row>
    <row r="134">
      <c r="A134" s="2" t="n">
        <v>46277</v>
      </c>
      <c r="B134" s="3" t="n">
        <v>2</v>
      </c>
      <c r="C134" s="3" t="inlineStr">
        <is>
          <t>26I622</t>
        </is>
      </c>
      <c r="D134" s="3" t="n">
        <v>4215</v>
      </c>
      <c r="E134" s="3" t="n">
        <v>216</v>
      </c>
      <c r="F134" s="4" t="n">
        <v>4.1</v>
      </c>
      <c r="G134" s="4" t="n">
        <v>885.6</v>
      </c>
      <c r="H134" s="5" t="n">
        <v>0.4888888888888889</v>
      </c>
      <c r="I134" s="5" t="n">
        <v>0.8958333333333334</v>
      </c>
      <c r="J134" s="3" t="n"/>
      <c r="K134" s="3" t="n"/>
      <c r="L134" s="3" t="n"/>
      <c r="M134" s="3" t="n"/>
      <c r="N134" s="3" t="n"/>
      <c r="O134" s="3" t="inlineStr"/>
      <c r="P134" s="6">
        <f>IF($C134="","",IF(COUNTIF($C$2:$C134,$C134)=1,1,0))</f>
        <v/>
      </c>
    </row>
    <row r="135">
      <c r="A135" s="2" t="n">
        <v>46277</v>
      </c>
      <c r="B135" s="3" t="n">
        <v>2</v>
      </c>
      <c r="C135" s="3" t="inlineStr">
        <is>
          <t>26I622</t>
        </is>
      </c>
      <c r="D135" s="3" t="n">
        <v>12001</v>
      </c>
      <c r="E135" s="3" t="n">
        <v>10</v>
      </c>
      <c r="F135" s="4" t="n">
        <v>3.04</v>
      </c>
      <c r="G135" s="4" t="n">
        <v>30.4</v>
      </c>
      <c r="H135" s="5" t="n">
        <v>0.4888888888888889</v>
      </c>
      <c r="I135" s="5" t="n">
        <v>0.8958333333333334</v>
      </c>
      <c r="J135" s="3" t="n"/>
      <c r="K135" s="3" t="n"/>
      <c r="L135" s="3" t="n"/>
      <c r="M135" s="3" t="n"/>
      <c r="N135" s="3" t="n"/>
      <c r="O135" s="3" t="inlineStr"/>
      <c r="P135" s="6">
        <f>IF($C135="","",IF(COUNTIF($C$2:$C135,$C135)=1,1,0))</f>
        <v/>
      </c>
    </row>
    <row r="136">
      <c r="A136" s="2" t="n">
        <v>46277</v>
      </c>
      <c r="B136" s="3" t="n">
        <v>2</v>
      </c>
      <c r="C136" s="3" t="inlineStr">
        <is>
          <t>26I36</t>
        </is>
      </c>
      <c r="D136" s="3" t="n">
        <v>32009</v>
      </c>
      <c r="E136" s="3" t="n">
        <v>260</v>
      </c>
      <c r="F136" s="4" t="n">
        <v>3.04</v>
      </c>
      <c r="G136" s="4" t="n">
        <v>790.4</v>
      </c>
      <c r="H136" s="5" t="n">
        <v>0.88125</v>
      </c>
      <c r="I136" s="5" t="n">
        <v>0.2326388888888889</v>
      </c>
      <c r="J136" s="3" t="n"/>
      <c r="K136" s="3" t="n"/>
      <c r="L136" s="3" t="n"/>
      <c r="M136" s="3" t="n"/>
      <c r="N136" s="3" t="n"/>
      <c r="O136" s="3" t="inlineStr"/>
      <c r="P136" s="6">
        <f>IF($C136="","",IF(COUNTIF($C$2:$C136,$C136)=1,1,0))</f>
        <v/>
      </c>
    </row>
    <row r="137">
      <c r="A137" s="2" t="n">
        <v>46277</v>
      </c>
      <c r="B137" s="3" t="n">
        <v>2</v>
      </c>
      <c r="C137" s="3" t="inlineStr">
        <is>
          <t>26I39</t>
        </is>
      </c>
      <c r="D137" s="3" t="n">
        <v>32009</v>
      </c>
      <c r="E137" s="3" t="n">
        <v>260</v>
      </c>
      <c r="F137" s="4" t="n">
        <v>3.04</v>
      </c>
      <c r="G137" s="4" t="n">
        <v>790.4</v>
      </c>
      <c r="H137" s="5" t="n">
        <v>0.2055555555555555</v>
      </c>
      <c r="I137" s="5" t="n">
        <v>0.5520833333333334</v>
      </c>
      <c r="J137" s="3" t="n"/>
      <c r="K137" s="3" t="n"/>
      <c r="L137" s="3" t="n"/>
      <c r="M137" s="3" t="n"/>
      <c r="N137" s="3" t="n"/>
      <c r="O137" s="3" t="inlineStr"/>
      <c r="P137" s="6">
        <f>IF($C137="","",IF(COUNTIF($C$2:$C137,$C137)=1,1,0))</f>
        <v/>
      </c>
    </row>
    <row r="138">
      <c r="A138" s="2" t="n">
        <v>46277</v>
      </c>
      <c r="B138" s="3" t="n">
        <v>3</v>
      </c>
      <c r="C138" s="3" t="inlineStr">
        <is>
          <t>26I621</t>
        </is>
      </c>
      <c r="D138" s="3" t="n">
        <v>4435</v>
      </c>
      <c r="E138" s="3" t="n">
        <v>150</v>
      </c>
      <c r="F138" s="4" t="n">
        <v>7.3</v>
      </c>
      <c r="G138" s="4" t="n">
        <v>1095</v>
      </c>
      <c r="H138" s="5" t="n">
        <v>0.3854166666666667</v>
      </c>
      <c r="I138" s="5" t="n">
        <v>0.8625</v>
      </c>
      <c r="J138" s="3" t="n"/>
      <c r="K138" s="3" t="n"/>
      <c r="L138" s="3" t="n"/>
      <c r="M138" s="3" t="n"/>
      <c r="N138" s="3" t="n"/>
      <c r="O138" s="3" t="inlineStr"/>
      <c r="P138" s="6">
        <f>IF($C138="","",IF(COUNTIF($C$2:$C138,$C138)=1,1,0))</f>
        <v/>
      </c>
    </row>
    <row r="139">
      <c r="A139" s="2" t="n">
        <v>46277</v>
      </c>
      <c r="B139" s="3" t="n">
        <v>3</v>
      </c>
      <c r="C139" s="3" t="inlineStr">
        <is>
          <t>26I625</t>
        </is>
      </c>
      <c r="D139" s="3" t="n">
        <v>4065</v>
      </c>
      <c r="E139" s="3" t="n">
        <v>144</v>
      </c>
      <c r="F139" s="4" t="n">
        <v>7.82</v>
      </c>
      <c r="G139" s="4" t="n">
        <v>1126.08</v>
      </c>
      <c r="H139" s="5" t="n">
        <v>0.8430555555555556</v>
      </c>
      <c r="I139" s="5" t="n">
        <v>0.2368055555555555</v>
      </c>
      <c r="J139" s="3" t="n"/>
      <c r="K139" s="3" t="n"/>
      <c r="L139" s="3" t="n"/>
      <c r="M139" s="3" t="n"/>
      <c r="N139" s="3" t="n"/>
      <c r="O139" s="3" t="inlineStr"/>
      <c r="P139" s="6">
        <f>IF($C139="","",IF(COUNTIF($C$2:$C139,$C139)=1,1,0))</f>
        <v/>
      </c>
    </row>
    <row r="140">
      <c r="A140" s="2" t="n">
        <v>46277</v>
      </c>
      <c r="B140" s="3" t="n">
        <v>3</v>
      </c>
      <c r="C140" s="3" t="inlineStr">
        <is>
          <t>26I629</t>
        </is>
      </c>
      <c r="D140" s="3" t="n">
        <v>9034</v>
      </c>
      <c r="E140" s="3" t="n">
        <v>1500</v>
      </c>
      <c r="F140" s="4" t="n">
        <v>0.32</v>
      </c>
      <c r="G140" s="4" t="n">
        <v>480</v>
      </c>
      <c r="H140" s="5" t="n">
        <v>0.2138888888888889</v>
      </c>
      <c r="I140" s="5" t="n">
        <v>0.5243055555555556</v>
      </c>
      <c r="J140" s="3" t="n"/>
      <c r="K140" s="3" t="n"/>
      <c r="L140" s="3" t="n"/>
      <c r="M140" s="3" t="n"/>
      <c r="N140" s="3" t="n"/>
      <c r="O140" s="3" t="inlineStr"/>
      <c r="P140" s="6">
        <f>IF($C140="","",IF(COUNTIF($C$2:$C140,$C140)=1,1,0))</f>
        <v/>
      </c>
    </row>
    <row r="141">
      <c r="A141" s="2" t="n">
        <v>46277</v>
      </c>
      <c r="B141" s="3" t="n">
        <v>4</v>
      </c>
      <c r="C141" s="3" t="inlineStr">
        <is>
          <t>26I619</t>
        </is>
      </c>
      <c r="D141" s="3" t="n">
        <v>4286</v>
      </c>
      <c r="E141" s="3" t="n">
        <v>280</v>
      </c>
      <c r="F141" s="4" t="n">
        <v>3.3</v>
      </c>
      <c r="G141" s="4" t="n">
        <v>924</v>
      </c>
      <c r="H141" s="5" t="n">
        <v>0.4423611111111111</v>
      </c>
      <c r="I141" s="5" t="n">
        <v>0.9375</v>
      </c>
      <c r="J141" s="3" t="n"/>
      <c r="K141" s="3" t="n"/>
      <c r="L141" s="3" t="n"/>
      <c r="M141" s="3" t="n"/>
      <c r="N141" s="3" t="n"/>
      <c r="O141" s="3" t="inlineStr"/>
      <c r="P141" s="6">
        <f>IF($C141="","",IF(COUNTIF($C$2:$C141,$C141)=1,1,0))</f>
        <v/>
      </c>
    </row>
    <row r="142">
      <c r="A142" s="2" t="n">
        <v>46277</v>
      </c>
      <c r="B142" s="3" t="n">
        <v>4</v>
      </c>
      <c r="C142" s="3" t="inlineStr">
        <is>
          <t>26I620</t>
        </is>
      </c>
      <c r="D142" s="3" t="n">
        <v>4529</v>
      </c>
      <c r="E142" s="3" t="n">
        <v>264</v>
      </c>
      <c r="F142" s="4" t="n">
        <v>2.52</v>
      </c>
      <c r="G142" s="4" t="n">
        <v>665.28</v>
      </c>
      <c r="H142" s="5" t="n">
        <v>0.9034722222222222</v>
      </c>
      <c r="I142" s="5" t="n">
        <v>0.3125</v>
      </c>
      <c r="J142" s="3" t="n"/>
      <c r="K142" s="3" t="n"/>
      <c r="L142" s="3" t="n"/>
      <c r="M142" s="3" t="n"/>
      <c r="N142" s="3" t="n"/>
      <c r="O142" s="3" t="inlineStr"/>
      <c r="P142" s="6">
        <f>IF($C142="","",IF(COUNTIF($C$2:$C142,$C142)=1,1,0))</f>
        <v/>
      </c>
    </row>
    <row r="143">
      <c r="A143" s="2" t="n">
        <v>46277</v>
      </c>
      <c r="B143" s="3" t="n">
        <v>4</v>
      </c>
      <c r="C143" s="3" t="inlineStr">
        <is>
          <t>26I620</t>
        </is>
      </c>
      <c r="D143" s="3" t="n">
        <v>3019</v>
      </c>
      <c r="E143" s="3" t="n">
        <v>250</v>
      </c>
      <c r="F143" s="4" t="n">
        <v>0.98</v>
      </c>
      <c r="G143" s="4" t="n">
        <v>245</v>
      </c>
      <c r="H143" s="5" t="n">
        <v>0.9034722222222222</v>
      </c>
      <c r="I143" s="5" t="n">
        <v>0.3125</v>
      </c>
      <c r="J143" s="3" t="n"/>
      <c r="K143" s="3" t="n"/>
      <c r="L143" s="3" t="n"/>
      <c r="M143" s="3" t="n"/>
      <c r="N143" s="3" t="n"/>
      <c r="O143" s="3" t="inlineStr"/>
      <c r="P143" s="6">
        <f>IF($C143="","",IF(COUNTIF($C$2:$C143,$C143)=1,1,0))</f>
        <v/>
      </c>
    </row>
    <row r="144">
      <c r="A144" s="2" t="n">
        <v>46278</v>
      </c>
      <c r="B144" s="3" t="n">
        <v>1</v>
      </c>
      <c r="C144" s="3" t="inlineStr">
        <is>
          <t>26I40</t>
        </is>
      </c>
      <c r="D144" s="3" t="n">
        <v>32012</v>
      </c>
      <c r="E144" s="3" t="n">
        <v>450</v>
      </c>
      <c r="F144" s="4" t="n">
        <v>2.1</v>
      </c>
      <c r="G144" s="4" t="n">
        <v>945</v>
      </c>
      <c r="H144" s="5" t="n">
        <v>0.6006944444444444</v>
      </c>
      <c r="I144" s="5" t="n">
        <v>0.9444444444444444</v>
      </c>
      <c r="J144" s="3" t="n"/>
      <c r="K144" s="3" t="n"/>
      <c r="L144" s="3" t="n"/>
      <c r="M144" s="3" t="n"/>
      <c r="N144" s="3" t="n"/>
      <c r="O144" s="3" t="inlineStr"/>
      <c r="P144" s="6">
        <f>IF($C144="","",IF(COUNTIF($C$2:$C144,$C144)=1,1,0))</f>
        <v/>
      </c>
    </row>
    <row r="145">
      <c r="A145" s="2" t="n">
        <v>46278</v>
      </c>
      <c r="B145" s="3" t="n">
        <v>1</v>
      </c>
      <c r="C145" s="3" t="inlineStr">
        <is>
          <t>26I42</t>
        </is>
      </c>
      <c r="D145" s="3" t="n">
        <v>32009</v>
      </c>
      <c r="E145" s="3" t="n">
        <v>260</v>
      </c>
      <c r="F145" s="4" t="n">
        <v>3.04</v>
      </c>
      <c r="G145" s="4" t="n">
        <v>790.4</v>
      </c>
      <c r="H145" s="5" t="n">
        <v>0.9152777777777777</v>
      </c>
      <c r="I145" s="5" t="n">
        <v>0.25</v>
      </c>
      <c r="J145" s="3" t="n"/>
      <c r="K145" s="3" t="n"/>
      <c r="L145" s="3" t="n"/>
      <c r="M145" s="3" t="n"/>
      <c r="N145" s="3" t="n"/>
      <c r="O145" s="3" t="inlineStr"/>
      <c r="P145" s="6">
        <f>IF($C145="","",IF(COUNTIF($C$2:$C145,$C145)=1,1,0))</f>
        <v/>
      </c>
    </row>
    <row r="146">
      <c r="A146" s="2" t="n">
        <v>46278</v>
      </c>
      <c r="B146" s="3" t="n">
        <v>1</v>
      </c>
      <c r="C146" s="3" t="inlineStr">
        <is>
          <t>26I636</t>
        </is>
      </c>
      <c r="D146" s="3" t="n">
        <v>9064</v>
      </c>
      <c r="E146" s="3" t="n">
        <v>150</v>
      </c>
      <c r="F146" s="4" t="n">
        <v>6.92</v>
      </c>
      <c r="G146" s="4" t="n">
        <v>1038</v>
      </c>
      <c r="H146" s="5" t="n">
        <v>0.2229166666666667</v>
      </c>
      <c r="I146" s="5" t="n">
        <v>0.7020833333333333</v>
      </c>
      <c r="J146" s="3" t="n"/>
      <c r="K146" s="3" t="n"/>
      <c r="L146" s="3" t="n"/>
      <c r="M146" s="3" t="n"/>
      <c r="N146" s="3" t="n"/>
      <c r="O146" s="3" t="inlineStr"/>
      <c r="P146" s="6">
        <f>IF($C146="","",IF(COUNTIF($C$2:$C146,$C146)=1,1,0))</f>
        <v/>
      </c>
    </row>
    <row r="147">
      <c r="A147" s="2" t="n">
        <v>46278</v>
      </c>
      <c r="B147" s="3" t="n">
        <v>2</v>
      </c>
      <c r="C147" s="3" t="inlineStr">
        <is>
          <t>26I41</t>
        </is>
      </c>
      <c r="D147" s="3" t="n">
        <v>32009</v>
      </c>
      <c r="E147" s="3" t="n">
        <v>260</v>
      </c>
      <c r="F147" s="4" t="n">
        <v>3.04</v>
      </c>
      <c r="G147" s="4" t="n">
        <v>790.4</v>
      </c>
      <c r="H147" s="5" t="n">
        <v>0.5229166666666667</v>
      </c>
      <c r="I147" s="5" t="n">
        <v>0.8784722222222222</v>
      </c>
      <c r="J147" s="3" t="n"/>
      <c r="K147" s="3" t="n"/>
      <c r="L147" s="3" t="n"/>
      <c r="M147" s="3" t="n"/>
      <c r="N147" s="3" t="n"/>
      <c r="O147" s="3" t="inlineStr"/>
      <c r="P147" s="6">
        <f>IF($C147="","",IF(COUNTIF($C$2:$C147,$C147)=1,1,0))</f>
        <v/>
      </c>
    </row>
    <row r="148">
      <c r="A148" s="2" t="n">
        <v>46278</v>
      </c>
      <c r="B148" s="3" t="n">
        <v>2</v>
      </c>
      <c r="C148" s="3" t="inlineStr">
        <is>
          <t>26I632</t>
        </is>
      </c>
      <c r="D148" s="3" t="n">
        <v>14014</v>
      </c>
      <c r="E148" s="3" t="n">
        <v>32</v>
      </c>
      <c r="F148" s="4" t="n">
        <v>30</v>
      </c>
      <c r="G148" s="4" t="n">
        <v>960</v>
      </c>
      <c r="H148" s="5" t="n">
        <v>0.8513888888888889</v>
      </c>
      <c r="I148" s="5" t="n">
        <v>0.5138888888888888</v>
      </c>
      <c r="J148" s="3" t="n"/>
      <c r="K148" s="3" t="n"/>
      <c r="L148" s="3" t="n"/>
      <c r="M148" s="3" t="n"/>
      <c r="N148" s="3" t="n"/>
      <c r="O148" s="3" t="inlineStr"/>
      <c r="P148" s="6">
        <f>IF($C148="","",IF(COUNTIF($C$2:$C148,$C148)=1,1,0))</f>
        <v/>
      </c>
    </row>
    <row r="149">
      <c r="A149" s="2" t="n">
        <v>46278</v>
      </c>
      <c r="B149" s="3" t="n">
        <v>3</v>
      </c>
      <c r="C149" s="3" t="inlineStr">
        <is>
          <t>26I630</t>
        </is>
      </c>
      <c r="D149" s="3" t="n">
        <v>18000</v>
      </c>
      <c r="E149" s="3" t="n">
        <v>70</v>
      </c>
      <c r="F149" s="4" t="n">
        <v>15.38</v>
      </c>
      <c r="G149" s="4" t="n">
        <v>1076.6</v>
      </c>
      <c r="H149" s="5" t="n">
        <v>0.4951388888888889</v>
      </c>
      <c r="I149" s="5" t="n">
        <v>0.02083333333333333</v>
      </c>
      <c r="J149" s="3" t="n"/>
      <c r="K149" s="3" t="n"/>
      <c r="L149" s="3" t="n"/>
      <c r="M149" s="3" t="n"/>
      <c r="N149" s="3" t="n"/>
      <c r="O149" s="3" t="inlineStr"/>
      <c r="P149" s="6">
        <f>IF($C149="","",IF(COUNTIF($C$2:$C149,$C149)=1,1,0))</f>
        <v/>
      </c>
    </row>
    <row r="150">
      <c r="A150" s="2" t="n">
        <v>46278</v>
      </c>
      <c r="B150" s="3" t="n">
        <v>3</v>
      </c>
      <c r="C150" s="3" t="inlineStr">
        <is>
          <t>26I631</t>
        </is>
      </c>
      <c r="D150" s="3" t="n">
        <v>4435</v>
      </c>
      <c r="E150" s="3" t="n">
        <v>112</v>
      </c>
      <c r="F150" s="4" t="n">
        <v>7.3</v>
      </c>
      <c r="G150" s="4" t="n">
        <v>817.6</v>
      </c>
      <c r="H150" s="5" t="n">
        <v>0.9930555555555556</v>
      </c>
      <c r="I150" s="5" t="n">
        <v>0.4652777777777778</v>
      </c>
      <c r="J150" s="3" t="n"/>
      <c r="K150" s="3" t="n"/>
      <c r="L150" s="3" t="n"/>
      <c r="M150" s="3" t="n"/>
      <c r="N150" s="3" t="n"/>
      <c r="O150" s="3" t="inlineStr"/>
      <c r="P150" s="6">
        <f>IF($C150="","",IF(COUNTIF($C$2:$C150,$C150)=1,1,0))</f>
        <v/>
      </c>
    </row>
    <row r="151">
      <c r="A151" s="2" t="n">
        <v>46278</v>
      </c>
      <c r="B151" s="3" t="n">
        <v>3</v>
      </c>
      <c r="C151" s="3" t="inlineStr">
        <is>
          <t>26I631</t>
        </is>
      </c>
      <c r="D151" s="3" t="n">
        <v>3003</v>
      </c>
      <c r="E151" s="3" t="n">
        <v>160</v>
      </c>
      <c r="F151" s="4" t="n">
        <v>1.2</v>
      </c>
      <c r="G151" s="4" t="n">
        <v>192</v>
      </c>
      <c r="H151" s="5" t="n">
        <v>0.9930555555555556</v>
      </c>
      <c r="I151" s="5" t="n">
        <v>0.4652777777777778</v>
      </c>
      <c r="J151" s="3" t="n"/>
      <c r="K151" s="3" t="n"/>
      <c r="L151" s="3" t="n"/>
      <c r="M151" s="3" t="n"/>
      <c r="N151" s="3" t="n"/>
      <c r="O151" s="3" t="inlineStr"/>
      <c r="P151" s="6">
        <f>IF($C151="","",IF(COUNTIF($C$2:$C151,$C151)=1,1,0))</f>
        <v/>
      </c>
    </row>
    <row r="152">
      <c r="A152" s="2" t="n">
        <v>46278</v>
      </c>
      <c r="B152" s="3" t="n">
        <v>4</v>
      </c>
      <c r="C152" s="3" t="inlineStr">
        <is>
          <t>26I627</t>
        </is>
      </c>
      <c r="D152" s="3" t="n">
        <v>23015</v>
      </c>
      <c r="E152" s="3" t="n">
        <v>495</v>
      </c>
      <c r="F152" s="4" t="n">
        <v>0.3</v>
      </c>
      <c r="G152" s="4" t="n">
        <v>148.5</v>
      </c>
      <c r="H152" s="5" t="n">
        <v>0.2833333333333333</v>
      </c>
      <c r="I152" s="5" t="n">
        <v>0.7916666666666666</v>
      </c>
      <c r="J152" s="3" t="n"/>
      <c r="K152" s="3" t="n"/>
      <c r="L152" s="3" t="n"/>
      <c r="M152" s="3" t="n"/>
      <c r="N152" s="3" t="n"/>
      <c r="O152" s="3" t="inlineStr"/>
      <c r="P152" s="6">
        <f>IF($C152="","",IF(COUNTIF($C$2:$C152,$C152)=1,1,0))</f>
        <v/>
      </c>
    </row>
    <row r="153">
      <c r="A153" s="2" t="n">
        <v>46278</v>
      </c>
      <c r="B153" s="3" t="n">
        <v>4</v>
      </c>
      <c r="C153" s="3" t="inlineStr">
        <is>
          <t>26I627</t>
        </is>
      </c>
      <c r="D153" s="3" t="n">
        <v>23013</v>
      </c>
      <c r="E153" s="3" t="n">
        <v>644</v>
      </c>
      <c r="F153" s="4" t="n">
        <v>0.78</v>
      </c>
      <c r="G153" s="4" t="n">
        <v>502.32</v>
      </c>
      <c r="H153" s="5" t="n">
        <v>0.2833333333333333</v>
      </c>
      <c r="I153" s="5" t="n">
        <v>0.7916666666666666</v>
      </c>
      <c r="J153" s="3" t="n"/>
      <c r="K153" s="3" t="n"/>
      <c r="L153" s="3" t="n"/>
      <c r="M153" s="3" t="n"/>
      <c r="N153" s="3" t="n"/>
      <c r="O153" s="3" t="inlineStr"/>
      <c r="P153" s="6">
        <f>IF($C153="","",IF(COUNTIF($C$2:$C153,$C153)=1,1,0))</f>
        <v/>
      </c>
    </row>
    <row r="154">
      <c r="A154" s="2" t="n">
        <v>46278</v>
      </c>
      <c r="B154" s="3" t="n">
        <v>4</v>
      </c>
      <c r="C154" s="3" t="inlineStr">
        <is>
          <t>26I627</t>
        </is>
      </c>
      <c r="D154" s="3" t="n">
        <v>4435</v>
      </c>
      <c r="E154" s="3" t="n">
        <v>36</v>
      </c>
      <c r="F154" s="4" t="n">
        <v>7.3</v>
      </c>
      <c r="G154" s="4" t="n">
        <v>262.8</v>
      </c>
      <c r="H154" s="5" t="n">
        <v>0.2833333333333333</v>
      </c>
      <c r="I154" s="5" t="n">
        <v>0.7916666666666666</v>
      </c>
      <c r="J154" s="3" t="n"/>
      <c r="K154" s="3" t="n"/>
      <c r="L154" s="3" t="n"/>
      <c r="M154" s="3" t="n"/>
      <c r="N154" s="3" t="n"/>
      <c r="O154" s="3" t="inlineStr"/>
      <c r="P154" s="6">
        <f>IF($C154="","",IF(COUNTIF($C$2:$C154,$C154)=1,1,0))</f>
        <v/>
      </c>
    </row>
    <row r="155">
      <c r="A155" s="2" t="n">
        <v>46278</v>
      </c>
      <c r="B155" s="3" t="n">
        <v>4</v>
      </c>
      <c r="C155" s="3" t="inlineStr">
        <is>
          <t>26I633</t>
        </is>
      </c>
      <c r="D155" s="3" t="n">
        <v>4427</v>
      </c>
      <c r="E155" s="3" t="n">
        <v>104</v>
      </c>
      <c r="F155" s="4" t="n">
        <v>7.92</v>
      </c>
      <c r="G155" s="4" t="n">
        <v>823.6799999999999</v>
      </c>
      <c r="H155" s="5" t="n">
        <v>0.7652777777777777</v>
      </c>
      <c r="I155" s="5" t="n">
        <v>0.2326388888888889</v>
      </c>
      <c r="J155" s="3" t="n"/>
      <c r="K155" s="3" t="n"/>
      <c r="L155" s="3" t="n"/>
      <c r="M155" s="3" t="n"/>
      <c r="N155" s="3" t="n"/>
      <c r="O155" s="3" t="inlineStr"/>
      <c r="P155" s="6">
        <f>IF($C155="","",IF(COUNTIF($C$2:$C155,$C155)=1,1,0))</f>
        <v/>
      </c>
    </row>
    <row r="156">
      <c r="A156" s="2" t="n">
        <v>46278</v>
      </c>
      <c r="B156" s="3" t="n">
        <v>4</v>
      </c>
      <c r="C156" s="3" t="inlineStr">
        <is>
          <t>26I633</t>
        </is>
      </c>
      <c r="D156" s="3" t="n">
        <v>4065</v>
      </c>
      <c r="E156" s="3" t="n">
        <v>36</v>
      </c>
      <c r="F156" s="4" t="n">
        <v>7.82</v>
      </c>
      <c r="G156" s="4" t="n">
        <v>281.52</v>
      </c>
      <c r="H156" s="5" t="n">
        <v>0.7652777777777777</v>
      </c>
      <c r="I156" s="5" t="n">
        <v>0.2326388888888889</v>
      </c>
      <c r="J156" s="3" t="n"/>
      <c r="K156" s="3" t="n"/>
      <c r="L156" s="3" t="n"/>
      <c r="M156" s="3" t="n"/>
      <c r="N156" s="3" t="n"/>
      <c r="O156" s="3" t="inlineStr"/>
      <c r="P156" s="6">
        <f>IF($C156="","",IF(COUNTIF($C$2:$C156,$C156)=1,1,0))</f>
        <v/>
      </c>
    </row>
    <row r="157">
      <c r="A157" s="7" t="n">
        <v>46278</v>
      </c>
      <c r="B157" s="8" t="n">
        <v>4</v>
      </c>
      <c r="C157" s="8" t="inlineStr">
        <is>
          <t>26I634</t>
        </is>
      </c>
      <c r="D157" s="8" t="n">
        <v>4529</v>
      </c>
      <c r="E157" s="8" t="n">
        <v>194</v>
      </c>
      <c r="F157" s="9" t="n">
        <v>2.52</v>
      </c>
      <c r="G157" s="9" t="n">
        <v>488.88</v>
      </c>
      <c r="H157" s="10" t="n">
        <v>0.2048611111111111</v>
      </c>
      <c r="I157" s="10" t="n">
        <v>0.6284722222222222</v>
      </c>
      <c r="J157" s="8" t="n"/>
      <c r="K157" s="8" t="n"/>
      <c r="L157" s="8" t="n"/>
      <c r="M157" s="8" t="n"/>
      <c r="N157" s="8" t="n"/>
      <c r="O157" s="11" t="inlineStr">
        <is>
          <t>MS No mismatch between sheets - verify</t>
        </is>
      </c>
      <c r="P157" s="6">
        <f>IF($C157="","",IF(COUNTIF($C$2:$C157,$C157)=1,1,0))</f>
        <v/>
      </c>
    </row>
    <row r="158">
      <c r="A158" s="7" t="n">
        <v>46278</v>
      </c>
      <c r="B158" s="8" t="n">
        <v>4</v>
      </c>
      <c r="C158" s="8" t="inlineStr">
        <is>
          <t>26I634</t>
        </is>
      </c>
      <c r="D158" s="8" t="n">
        <v>3019</v>
      </c>
      <c r="E158" s="8" t="n">
        <v>550</v>
      </c>
      <c r="F158" s="9" t="n">
        <v>0.98</v>
      </c>
      <c r="G158" s="9" t="n">
        <v>539</v>
      </c>
      <c r="H158" s="10" t="n">
        <v>0.2048611111111111</v>
      </c>
      <c r="I158" s="10" t="n">
        <v>0.6284722222222222</v>
      </c>
      <c r="J158" s="8" t="n"/>
      <c r="K158" s="8" t="n"/>
      <c r="L158" s="8" t="n"/>
      <c r="M158" s="8" t="n"/>
      <c r="N158" s="8" t="n"/>
      <c r="O158" s="11" t="inlineStr">
        <is>
          <t>MS No mismatch between sheets - verify</t>
        </is>
      </c>
      <c r="P158" s="6">
        <f>IF($C158="","",IF(COUNTIF($C$2:$C158,$C158)=1,1,0))</f>
        <v/>
      </c>
    </row>
    <row r="159">
      <c r="A159" s="2" t="n">
        <v>46279</v>
      </c>
      <c r="B159" s="3" t="n">
        <v>1</v>
      </c>
      <c r="C159" s="3" t="inlineStr">
        <is>
          <t>26I44</t>
        </is>
      </c>
      <c r="D159" s="3" t="n">
        <v>32009</v>
      </c>
      <c r="E159" s="3" t="n">
        <v>260</v>
      </c>
      <c r="F159" s="4" t="n">
        <v>3.04</v>
      </c>
      <c r="G159" s="4" t="n">
        <v>790.4</v>
      </c>
      <c r="H159" s="5" t="n">
        <v>0.6916666666666667</v>
      </c>
      <c r="I159" s="5" t="n">
        <v>0.03472222222222222</v>
      </c>
      <c r="J159" s="3" t="n"/>
      <c r="K159" s="3" t="n"/>
      <c r="L159" s="3" t="n"/>
      <c r="M159" s="3" t="n"/>
      <c r="N159" s="3" t="n"/>
      <c r="O159" s="3" t="inlineStr"/>
      <c r="P159" s="6">
        <f>IF($C159="","",IF(COUNTIF($C$2:$C159,$C159)=1,1,0))</f>
        <v/>
      </c>
    </row>
    <row r="160">
      <c r="A160" s="2" t="n">
        <v>46279</v>
      </c>
      <c r="B160" s="3" t="n">
        <v>1</v>
      </c>
      <c r="C160" s="3" t="inlineStr">
        <is>
          <t>26I47</t>
        </is>
      </c>
      <c r="D160" s="3" t="n">
        <v>32009</v>
      </c>
      <c r="E160" s="3" t="n">
        <v>260</v>
      </c>
      <c r="F160" s="4" t="n">
        <v>3.04</v>
      </c>
      <c r="G160" s="4" t="n">
        <v>790.4</v>
      </c>
      <c r="H160" s="5" t="n">
        <v>0.00625</v>
      </c>
      <c r="I160" s="5" t="n">
        <v>0.34375</v>
      </c>
      <c r="J160" s="3" t="n"/>
      <c r="K160" s="3" t="n"/>
      <c r="L160" s="3" t="n"/>
      <c r="M160" s="3" t="n"/>
      <c r="N160" s="3" t="n"/>
      <c r="O160" s="3" t="inlineStr"/>
      <c r="P160" s="6">
        <f>IF($C160="","",IF(COUNTIF($C$2:$C160,$C160)=1,1,0))</f>
        <v/>
      </c>
    </row>
    <row r="161">
      <c r="A161" s="2" t="n">
        <v>46279</v>
      </c>
      <c r="B161" s="3" t="n">
        <v>2</v>
      </c>
      <c r="C161" s="3" t="inlineStr">
        <is>
          <t>26I43</t>
        </is>
      </c>
      <c r="D161" s="3" t="n">
        <v>32012</v>
      </c>
      <c r="E161" s="3" t="n">
        <v>450</v>
      </c>
      <c r="F161" s="4" t="n">
        <v>2.1</v>
      </c>
      <c r="G161" s="4" t="n">
        <v>945</v>
      </c>
      <c r="H161" s="5" t="n">
        <v>0.4875</v>
      </c>
      <c r="I161" s="5" t="n">
        <v>0.8402777777777778</v>
      </c>
      <c r="J161" s="3" t="n"/>
      <c r="K161" s="3" t="n"/>
      <c r="L161" s="3" t="n"/>
      <c r="M161" s="3" t="n"/>
      <c r="N161" s="3" t="n"/>
      <c r="O161" s="3" t="inlineStr"/>
      <c r="P161" s="6">
        <f>IF($C161="","",IF(COUNTIF($C$2:$C161,$C161)=1,1,0))</f>
        <v/>
      </c>
    </row>
    <row r="162">
      <c r="A162" s="2" t="n">
        <v>46279</v>
      </c>
      <c r="B162" s="3" t="n">
        <v>2</v>
      </c>
      <c r="C162" s="3" t="inlineStr">
        <is>
          <t>26I637</t>
        </is>
      </c>
      <c r="D162" s="3" t="n">
        <v>22000</v>
      </c>
      <c r="E162" s="3" t="n">
        <v>240</v>
      </c>
      <c r="F162" s="4" t="n">
        <v>3.9</v>
      </c>
      <c r="G162" s="4" t="n">
        <v>936</v>
      </c>
      <c r="H162" s="5" t="n">
        <v>0.8125</v>
      </c>
      <c r="I162" s="5" t="n">
        <v>0.2013888888888889</v>
      </c>
      <c r="J162" s="3" t="n"/>
      <c r="K162" s="3" t="n"/>
      <c r="L162" s="3" t="n"/>
      <c r="M162" s="3" t="n"/>
      <c r="N162" s="3" t="n"/>
      <c r="O162" s="3" t="inlineStr"/>
      <c r="P162" s="6">
        <f>IF($C162="","",IF(COUNTIF($C$2:$C162,$C162)=1,1,0))</f>
        <v/>
      </c>
    </row>
    <row r="163">
      <c r="A163" s="2" t="n">
        <v>46279</v>
      </c>
      <c r="B163" s="3" t="n">
        <v>2</v>
      </c>
      <c r="C163" s="3" t="inlineStr">
        <is>
          <t>26I45</t>
        </is>
      </c>
      <c r="D163" s="3" t="n">
        <v>32012</v>
      </c>
      <c r="E163" s="3" t="n">
        <v>450</v>
      </c>
      <c r="F163" s="4" t="n">
        <v>2.1</v>
      </c>
      <c r="G163" s="4" t="n">
        <v>945</v>
      </c>
      <c r="H163" s="5" t="n">
        <v>0.1736111111111111</v>
      </c>
      <c r="I163" s="5" t="n">
        <v>0.5243055555555556</v>
      </c>
      <c r="J163" s="3" t="n"/>
      <c r="K163" s="3" t="n"/>
      <c r="L163" s="3" t="n"/>
      <c r="M163" s="3" t="n"/>
      <c r="N163" s="3" t="n"/>
      <c r="O163" s="3" t="inlineStr"/>
      <c r="P163" s="6">
        <f>IF($C163="","",IF(COUNTIF($C$2:$C163,$C163)=1,1,0))</f>
        <v/>
      </c>
    </row>
    <row r="164">
      <c r="A164" s="2" t="n">
        <v>46279</v>
      </c>
      <c r="B164" s="3" t="n">
        <v>3</v>
      </c>
      <c r="C164" s="3" t="inlineStr">
        <is>
          <t>26I639</t>
        </is>
      </c>
      <c r="D164" s="3" t="n">
        <v>4065</v>
      </c>
      <c r="E164" s="3" t="n">
        <v>144</v>
      </c>
      <c r="F164" s="4" t="n">
        <v>7.82</v>
      </c>
      <c r="G164" s="4" t="n">
        <v>1126.08</v>
      </c>
      <c r="H164" s="5" t="n">
        <v>0.9430555555555555</v>
      </c>
      <c r="I164" s="5" t="n">
        <v>0.3819444444444444</v>
      </c>
      <c r="J164" s="3" t="n"/>
      <c r="K164" s="3" t="n"/>
      <c r="L164" s="3" t="n"/>
      <c r="M164" s="3" t="n"/>
      <c r="N164" s="3" t="inlineStr">
        <is>
          <t>SQF-3 DE-SOOTING (from day-wise sheet note)</t>
        </is>
      </c>
      <c r="O164" s="3" t="inlineStr"/>
      <c r="P164" s="6">
        <f>IF($C164="","",IF(COUNTIF($C$2:$C164,$C164)=1,1,0))</f>
        <v/>
      </c>
    </row>
    <row r="165">
      <c r="A165" s="2" t="n">
        <v>46279</v>
      </c>
      <c r="B165" s="3" t="n">
        <v>4</v>
      </c>
      <c r="C165" s="3" t="inlineStr">
        <is>
          <t>26I635</t>
        </is>
      </c>
      <c r="D165" s="3" t="n">
        <v>9034</v>
      </c>
      <c r="E165" s="3" t="n">
        <v>1500</v>
      </c>
      <c r="F165" s="4" t="n">
        <v>0.32</v>
      </c>
      <c r="G165" s="4" t="n">
        <v>480</v>
      </c>
      <c r="H165" s="5" t="n">
        <v>0.5986111111111111</v>
      </c>
      <c r="I165" s="5" t="n">
        <v>0.9270833333333334</v>
      </c>
      <c r="J165" s="3" t="n"/>
      <c r="K165" s="3" t="n"/>
      <c r="L165" s="3" t="n"/>
      <c r="M165" s="3" t="n"/>
      <c r="N165" s="3" t="n"/>
      <c r="O165" s="3" t="inlineStr"/>
      <c r="P165" s="6">
        <f>IF($C165="","",IF(COUNTIF($C$2:$C165,$C165)=1,1,0))</f>
        <v/>
      </c>
    </row>
    <row r="166">
      <c r="A166" s="2" t="n">
        <v>46279</v>
      </c>
      <c r="B166" s="3" t="n">
        <v>4</v>
      </c>
      <c r="C166" s="3" t="inlineStr">
        <is>
          <t>26I46</t>
        </is>
      </c>
      <c r="D166" s="3" t="n">
        <v>32009</v>
      </c>
      <c r="E166" s="3" t="n">
        <v>260</v>
      </c>
      <c r="F166" s="4" t="n">
        <v>3.04</v>
      </c>
      <c r="G166" s="4" t="n">
        <v>790.4</v>
      </c>
      <c r="H166" s="5" t="n">
        <v>0.8993055555555556</v>
      </c>
      <c r="I166" s="5" t="n">
        <v>0.2118055555555556</v>
      </c>
      <c r="J166" s="3" t="n"/>
      <c r="K166" s="3" t="n"/>
      <c r="L166" s="3" t="n"/>
      <c r="M166" s="3" t="n"/>
      <c r="N166" s="3" t="n"/>
      <c r="O166" s="3" t="inlineStr"/>
      <c r="P166" s="6">
        <f>IF($C166="","",IF(COUNTIF($C$2:$C166,$C166)=1,1,0))</f>
        <v/>
      </c>
    </row>
    <row r="167">
      <c r="A167" s="2" t="n">
        <v>46279</v>
      </c>
      <c r="B167" s="3" t="n">
        <v>4</v>
      </c>
      <c r="C167" s="3" t="inlineStr">
        <is>
          <t>26I638</t>
        </is>
      </c>
      <c r="D167" s="3" t="n">
        <v>9034</v>
      </c>
      <c r="E167" s="3" t="n">
        <v>1500</v>
      </c>
      <c r="F167" s="4" t="n">
        <v>0.32</v>
      </c>
      <c r="G167" s="4" t="n">
        <v>480</v>
      </c>
      <c r="H167" s="5" t="n">
        <v>0.1847222222222222</v>
      </c>
      <c r="I167" s="5" t="n">
        <v>0.5125</v>
      </c>
      <c r="J167" s="3" t="n"/>
      <c r="K167" s="3" t="n"/>
      <c r="L167" s="3" t="n"/>
      <c r="M167" s="3" t="n"/>
      <c r="N167" s="3" t="n"/>
      <c r="O167" s="3" t="inlineStr"/>
      <c r="P167" s="6">
        <f>IF($C167="","",IF(COUNTIF($C$2:$C167,$C167)=1,1,0))</f>
        <v/>
      </c>
    </row>
    <row r="168">
      <c r="A168" s="2" t="n">
        <v>46280</v>
      </c>
      <c r="B168" s="3" t="n">
        <v>1</v>
      </c>
      <c r="C168" s="3" t="inlineStr">
        <is>
          <t>26I48</t>
        </is>
      </c>
      <c r="D168" s="3" t="n">
        <v>32009</v>
      </c>
      <c r="E168" s="3" t="n">
        <v>260</v>
      </c>
      <c r="F168" s="4" t="n">
        <v>3.04</v>
      </c>
      <c r="G168" s="4" t="n">
        <v>790.4</v>
      </c>
      <c r="H168" s="5" t="n">
        <v>0.3125</v>
      </c>
      <c r="I168" s="5" t="n">
        <v>0.6527777777777778</v>
      </c>
      <c r="J168" s="3" t="n"/>
      <c r="K168" s="3" t="n"/>
      <c r="L168" s="3" t="n"/>
      <c r="M168" s="3" t="n"/>
      <c r="N168" s="3" t="n"/>
      <c r="O168" s="3" t="inlineStr"/>
      <c r="P168" s="6">
        <f>IF($C168="","",IF(COUNTIF($C$2:$C168,$C168)=1,1,0))</f>
        <v/>
      </c>
    </row>
    <row r="169">
      <c r="A169" s="2" t="n">
        <v>46280</v>
      </c>
      <c r="B169" s="3" t="n">
        <v>1</v>
      </c>
      <c r="C169" s="3" t="inlineStr">
        <is>
          <t>26I49</t>
        </is>
      </c>
      <c r="D169" s="3" t="n">
        <v>32012</v>
      </c>
      <c r="E169" s="3" t="n">
        <v>450</v>
      </c>
      <c r="F169" s="4" t="n">
        <v>2.1</v>
      </c>
      <c r="G169" s="4" t="n">
        <v>945</v>
      </c>
      <c r="H169" s="5" t="n">
        <v>0.625</v>
      </c>
      <c r="I169" s="5" t="n">
        <v>0.9722222222222222</v>
      </c>
      <c r="J169" s="3" t="n"/>
      <c r="K169" s="3" t="n"/>
      <c r="L169" s="3" t="n"/>
      <c r="M169" s="3" t="n"/>
      <c r="N169" s="3" t="n"/>
      <c r="O169" s="3" t="inlineStr"/>
      <c r="P169" s="6">
        <f>IF($C169="","",IF(COUNTIF($C$2:$C169,$C169)=1,1,0))</f>
        <v/>
      </c>
    </row>
    <row r="170">
      <c r="A170" s="2" t="n">
        <v>46280</v>
      </c>
      <c r="B170" s="3" t="n">
        <v>1</v>
      </c>
      <c r="C170" s="3" t="inlineStr">
        <is>
          <t>26I50</t>
        </is>
      </c>
      <c r="D170" s="3" t="n">
        <v>32009</v>
      </c>
      <c r="E170" s="3" t="n">
        <v>260</v>
      </c>
      <c r="F170" s="4" t="n">
        <v>3.04</v>
      </c>
      <c r="G170" s="4" t="n">
        <v>790.4</v>
      </c>
      <c r="H170" s="5" t="n">
        <v>0.9444444444444444</v>
      </c>
      <c r="I170" s="5" t="n">
        <v>0.2847222222222222</v>
      </c>
      <c r="J170" s="3" t="n"/>
      <c r="K170" s="3" t="n"/>
      <c r="L170" s="3" t="n"/>
      <c r="M170" s="3" t="n"/>
      <c r="N170" s="3" t="n"/>
      <c r="O170" s="3" t="inlineStr"/>
      <c r="P170" s="6">
        <f>IF($C170="","",IF(COUNTIF($C$2:$C170,$C170)=1,1,0))</f>
        <v/>
      </c>
    </row>
    <row r="171">
      <c r="A171" s="2" t="n">
        <v>46280</v>
      </c>
      <c r="B171" s="3" t="n">
        <v>2</v>
      </c>
      <c r="C171" s="3" t="inlineStr">
        <is>
          <t>26I642</t>
        </is>
      </c>
      <c r="D171" s="3" t="n">
        <v>18000</v>
      </c>
      <c r="E171" s="3" t="n">
        <v>70</v>
      </c>
      <c r="F171" s="4" t="n">
        <v>15.38</v>
      </c>
      <c r="G171" s="4" t="n">
        <v>1076.6</v>
      </c>
      <c r="H171" s="5" t="n">
        <v>0.4930555555555556</v>
      </c>
      <c r="I171" s="5" t="n">
        <v>0.03125</v>
      </c>
      <c r="J171" s="3" t="n"/>
      <c r="K171" s="3" t="n"/>
      <c r="L171" s="3" t="n"/>
      <c r="M171" s="3" t="n"/>
      <c r="N171" s="3" t="n"/>
      <c r="O171" s="3" t="inlineStr"/>
      <c r="P171" s="6">
        <f>IF($C171="","",IF(COUNTIF($C$2:$C171,$C171)=1,1,0))</f>
        <v/>
      </c>
    </row>
    <row r="172">
      <c r="A172" s="2" t="n">
        <v>46280</v>
      </c>
      <c r="B172" s="3" t="n">
        <v>2</v>
      </c>
      <c r="C172" s="3" t="inlineStr">
        <is>
          <t>26I643</t>
        </is>
      </c>
      <c r="D172" s="3" t="n">
        <v>14013</v>
      </c>
      <c r="E172" s="3" t="n">
        <v>22</v>
      </c>
      <c r="F172" s="4" t="n">
        <v>48</v>
      </c>
      <c r="G172" s="4" t="n">
        <v>1056</v>
      </c>
      <c r="H172" s="5" t="n">
        <v>0.004166666666666667</v>
      </c>
      <c r="I172" s="5" t="n">
        <v>0.7256944444444444</v>
      </c>
      <c r="J172" s="3" t="n"/>
      <c r="K172" s="3" t="n"/>
      <c r="L172" s="3" t="n"/>
      <c r="M172" s="3" t="n"/>
      <c r="N172" s="3" t="n"/>
      <c r="O172" s="3" t="inlineStr"/>
      <c r="P172" s="6">
        <f>IF($C172="","",IF(COUNTIF($C$2:$C172,$C172)=1,1,0))</f>
        <v/>
      </c>
    </row>
    <row r="173">
      <c r="A173" s="2" t="n">
        <v>46280</v>
      </c>
      <c r="B173" s="3" t="n">
        <v>3</v>
      </c>
      <c r="C173" s="3" t="inlineStr">
        <is>
          <t>26I640</t>
        </is>
      </c>
      <c r="D173" s="3" t="n">
        <v>2066</v>
      </c>
      <c r="E173" s="3" t="n">
        <v>96</v>
      </c>
      <c r="F173" s="4" t="n">
        <v>10.08</v>
      </c>
      <c r="G173" s="4" t="n">
        <v>967.6799999999999</v>
      </c>
      <c r="H173" s="5" t="n">
        <v>0.3513888888888889</v>
      </c>
      <c r="I173" s="5" t="n">
        <v>0.8854166666666666</v>
      </c>
      <c r="J173" s="3" t="n"/>
      <c r="K173" s="3" t="n"/>
      <c r="L173" s="3" t="n"/>
      <c r="M173" s="3" t="n"/>
      <c r="N173" s="3" t="n"/>
      <c r="O173" s="3" t="inlineStr"/>
      <c r="P173" s="6">
        <f>IF($C173="","",IF(COUNTIF($C$2:$C173,$C173)=1,1,0))</f>
        <v/>
      </c>
    </row>
    <row r="174">
      <c r="A174" s="2" t="n">
        <v>46280</v>
      </c>
      <c r="B174" s="3" t="n">
        <v>3</v>
      </c>
      <c r="C174" s="3" t="inlineStr">
        <is>
          <t>26I645</t>
        </is>
      </c>
      <c r="D174" s="3" t="n">
        <v>3051</v>
      </c>
      <c r="E174" s="3" t="n">
        <v>270</v>
      </c>
      <c r="F174" s="4" t="n">
        <v>0.66</v>
      </c>
      <c r="G174" s="4" t="n">
        <v>178.2</v>
      </c>
      <c r="H174" s="5" t="n">
        <v>0.8645833333333334</v>
      </c>
      <c r="I174" s="5" t="n">
        <v>0.2118055555555556</v>
      </c>
      <c r="J174" s="3" t="n"/>
      <c r="K174" s="3" t="n"/>
      <c r="L174" s="3" t="n"/>
      <c r="M174" s="3" t="n"/>
      <c r="N174" s="3" t="n"/>
      <c r="O174" s="3" t="inlineStr"/>
      <c r="P174" s="6">
        <f>IF($C174="","",IF(COUNTIF($C$2:$C174,$C174)=1,1,0))</f>
        <v/>
      </c>
    </row>
    <row r="175">
      <c r="A175" s="2" t="n">
        <v>46280</v>
      </c>
      <c r="B175" s="3" t="n">
        <v>3</v>
      </c>
      <c r="C175" s="3" t="inlineStr">
        <is>
          <t>26I645</t>
        </is>
      </c>
      <c r="D175" s="3" t="n">
        <v>3003</v>
      </c>
      <c r="E175" s="3" t="n">
        <v>700</v>
      </c>
      <c r="F175" s="4" t="n">
        <v>1.2</v>
      </c>
      <c r="G175" s="4" t="n">
        <v>840</v>
      </c>
      <c r="H175" s="5" t="n">
        <v>0.8645833333333334</v>
      </c>
      <c r="I175" s="5" t="n">
        <v>0.2118055555555556</v>
      </c>
      <c r="J175" s="3" t="n"/>
      <c r="K175" s="3" t="n"/>
      <c r="L175" s="3" t="n"/>
      <c r="M175" s="3" t="n"/>
      <c r="N175" s="3" t="n"/>
      <c r="O175" s="3" t="inlineStr"/>
      <c r="P175" s="6">
        <f>IF($C175="","",IF(COUNTIF($C$2:$C175,$C175)=1,1,0))</f>
        <v/>
      </c>
    </row>
    <row r="176">
      <c r="A176" s="2" t="n">
        <v>46280</v>
      </c>
      <c r="B176" s="3" t="n">
        <v>3</v>
      </c>
      <c r="C176" s="3" t="inlineStr">
        <is>
          <t>26I647</t>
        </is>
      </c>
      <c r="D176" s="3" t="n">
        <v>9034</v>
      </c>
      <c r="E176" s="3" t="n">
        <v>1500</v>
      </c>
      <c r="F176" s="4" t="n">
        <v>0.32</v>
      </c>
      <c r="G176" s="4" t="n">
        <v>480</v>
      </c>
      <c r="H176" s="5" t="n">
        <v>0.1861111111111111</v>
      </c>
      <c r="I176" s="5" t="n">
        <v>0.5104166666666666</v>
      </c>
      <c r="J176" s="3" t="n"/>
      <c r="K176" s="3" t="n"/>
      <c r="L176" s="3" t="n"/>
      <c r="M176" s="3" t="n"/>
      <c r="N176" s="3" t="n"/>
      <c r="O176" s="3" t="inlineStr"/>
      <c r="P176" s="6">
        <f>IF($C176="","",IF(COUNTIF($C$2:$C176,$C176)=1,1,0))</f>
        <v/>
      </c>
    </row>
    <row r="177">
      <c r="A177" s="2" t="n">
        <v>46280</v>
      </c>
      <c r="B177" s="3" t="n">
        <v>4</v>
      </c>
      <c r="C177" s="3" t="inlineStr">
        <is>
          <t>26I641</t>
        </is>
      </c>
      <c r="D177" s="3" t="n">
        <v>4529</v>
      </c>
      <c r="E177" s="3" t="n">
        <v>262</v>
      </c>
      <c r="F177" s="4" t="n">
        <v>2.52</v>
      </c>
      <c r="G177" s="4" t="n">
        <v>660.24</v>
      </c>
      <c r="H177" s="5" t="n">
        <v>0.4840277777777778</v>
      </c>
      <c r="I177" s="5" t="n">
        <v>0.8958333333333334</v>
      </c>
      <c r="J177" s="3" t="n"/>
      <c r="K177" s="3" t="n"/>
      <c r="L177" s="3" t="n"/>
      <c r="M177" s="3" t="n"/>
      <c r="N177" s="3" t="n"/>
      <c r="O177" s="3" t="inlineStr"/>
      <c r="P177" s="6">
        <f>IF($C177="","",IF(COUNTIF($C$2:$C177,$C177)=1,1,0))</f>
        <v/>
      </c>
    </row>
    <row r="178">
      <c r="A178" s="2" t="n">
        <v>46280</v>
      </c>
      <c r="B178" s="3" t="n">
        <v>4</v>
      </c>
      <c r="C178" s="3" t="inlineStr">
        <is>
          <t>26I641</t>
        </is>
      </c>
      <c r="D178" s="3" t="n">
        <v>3019</v>
      </c>
      <c r="E178" s="3" t="n">
        <v>256</v>
      </c>
      <c r="F178" s="4" t="n">
        <v>0.98</v>
      </c>
      <c r="G178" s="4" t="n">
        <v>250.88</v>
      </c>
      <c r="H178" s="5" t="n">
        <v>0.4840277777777778</v>
      </c>
      <c r="I178" s="5" t="n">
        <v>0.8958333333333334</v>
      </c>
      <c r="J178" s="3" t="n"/>
      <c r="K178" s="3" t="n"/>
      <c r="L178" s="3" t="n"/>
      <c r="M178" s="3" t="n"/>
      <c r="N178" s="3" t="n"/>
      <c r="O178" s="3" t="inlineStr"/>
      <c r="P178" s="6">
        <f>IF($C178="","",IF(COUNTIF($C$2:$C178,$C178)=1,1,0))</f>
        <v/>
      </c>
    </row>
    <row r="179">
      <c r="A179" s="2" t="n">
        <v>46280</v>
      </c>
      <c r="B179" s="3" t="n">
        <v>4</v>
      </c>
      <c r="C179" s="3" t="inlineStr">
        <is>
          <t>26I646</t>
        </is>
      </c>
      <c r="D179" s="3" t="n">
        <v>21017</v>
      </c>
      <c r="E179" s="3" t="n">
        <v>120</v>
      </c>
      <c r="F179" s="4" t="n">
        <v>4.84</v>
      </c>
      <c r="G179" s="4" t="n">
        <v>580.8</v>
      </c>
      <c r="H179" s="5" t="n">
        <v>0.875</v>
      </c>
      <c r="I179" s="5" t="n">
        <v>0.3541666666666667</v>
      </c>
      <c r="J179" s="3" t="n"/>
      <c r="K179" s="3" t="n"/>
      <c r="L179" s="3" t="n"/>
      <c r="M179" s="3" t="n"/>
      <c r="N179" s="3" t="n"/>
      <c r="O179" s="3" t="inlineStr"/>
      <c r="P179" s="6">
        <f>IF($C179="","",IF(COUNTIF($C$2:$C179,$C179)=1,1,0))</f>
        <v/>
      </c>
    </row>
    <row r="180">
      <c r="A180" s="2" t="n">
        <v>46280</v>
      </c>
      <c r="B180" s="3" t="n">
        <v>4</v>
      </c>
      <c r="C180" s="3" t="inlineStr">
        <is>
          <t>26I646</t>
        </is>
      </c>
      <c r="D180" s="3" t="n">
        <v>21015</v>
      </c>
      <c r="E180" s="3" t="n">
        <v>8</v>
      </c>
      <c r="F180" s="4" t="n">
        <v>4.72</v>
      </c>
      <c r="G180" s="4" t="n">
        <v>37.76</v>
      </c>
      <c r="H180" s="5" t="n">
        <v>0.875</v>
      </c>
      <c r="I180" s="5" t="n">
        <v>0.3541666666666667</v>
      </c>
      <c r="J180" s="3" t="n"/>
      <c r="K180" s="3" t="n"/>
      <c r="L180" s="3" t="n"/>
      <c r="M180" s="3" t="n"/>
      <c r="N180" s="3" t="n"/>
      <c r="O180" s="3" t="inlineStr"/>
      <c r="P180" s="6">
        <f>IF($C180="","",IF(COUNTIF($C$2:$C180,$C180)=1,1,0))</f>
        <v/>
      </c>
    </row>
    <row r="181">
      <c r="A181" s="2" t="n">
        <v>46280</v>
      </c>
      <c r="B181" s="3" t="n">
        <v>4</v>
      </c>
      <c r="C181" s="3" t="inlineStr">
        <is>
          <t>26I646</t>
        </is>
      </c>
      <c r="D181" s="3" t="n">
        <v>9067</v>
      </c>
      <c r="E181" s="3" t="n">
        <v>118</v>
      </c>
      <c r="F181" s="4" t="n">
        <v>1.92</v>
      </c>
      <c r="G181" s="4" t="n">
        <v>226.56</v>
      </c>
      <c r="H181" s="5" t="n">
        <v>0.875</v>
      </c>
      <c r="I181" s="5" t="n">
        <v>0.3541666666666667</v>
      </c>
      <c r="J181" s="3" t="n"/>
      <c r="K181" s="3" t="n"/>
      <c r="L181" s="3" t="n"/>
      <c r="M181" s="3" t="n"/>
      <c r="N181" s="3" t="n"/>
      <c r="O181" s="3" t="inlineStr"/>
      <c r="P181" s="6">
        <f>IF($C181="","",IF(COUNTIF($C$2:$C181,$C181)=1,1,0))</f>
        <v/>
      </c>
    </row>
    <row r="182">
      <c r="A182" s="2" t="n">
        <v>46281</v>
      </c>
      <c r="B182" s="3" t="n">
        <v>1</v>
      </c>
      <c r="C182" s="3" t="inlineStr">
        <is>
          <t>26I52</t>
        </is>
      </c>
      <c r="D182" s="3" t="n">
        <v>32009</v>
      </c>
      <c r="E182" s="3" t="n">
        <v>260</v>
      </c>
      <c r="F182" s="4" t="n">
        <v>3.04</v>
      </c>
      <c r="G182" s="4" t="n">
        <v>790.4</v>
      </c>
      <c r="H182" s="5" t="n">
        <v>0.2534722222222222</v>
      </c>
      <c r="I182" s="5" t="n">
        <v>0.5972222222222222</v>
      </c>
      <c r="J182" s="3" t="n"/>
      <c r="K182" s="3" t="n"/>
      <c r="L182" s="3" t="n"/>
      <c r="M182" s="3" t="n"/>
      <c r="N182" s="3" t="n"/>
      <c r="O182" s="3" t="inlineStr"/>
      <c r="P182" s="6">
        <f>IF($C182="","",IF(COUNTIF($C$2:$C182,$C182)=1,1,0))</f>
        <v/>
      </c>
    </row>
    <row r="183">
      <c r="A183" s="2" t="n">
        <v>46281</v>
      </c>
      <c r="B183" s="3" t="n">
        <v>1</v>
      </c>
      <c r="C183" s="3" t="inlineStr">
        <is>
          <t>26I51</t>
        </is>
      </c>
      <c r="D183" s="3" t="n">
        <v>32012</v>
      </c>
      <c r="E183" s="3" t="n">
        <v>450</v>
      </c>
      <c r="F183" s="4" t="n">
        <v>2.1</v>
      </c>
      <c r="G183" s="4" t="n">
        <v>945</v>
      </c>
      <c r="H183" s="5" t="n">
        <v>0.5701388888888889</v>
      </c>
      <c r="I183" s="5" t="n">
        <v>0.9166666666666666</v>
      </c>
      <c r="J183" s="3" t="n"/>
      <c r="K183" s="3" t="n"/>
      <c r="L183" s="3" t="n"/>
      <c r="M183" s="3" t="n"/>
      <c r="N183" s="3" t="n"/>
      <c r="O183" s="3" t="inlineStr"/>
      <c r="P183" s="6">
        <f>IF($C183="","",IF(COUNTIF($C$2:$C183,$C183)=1,1,0))</f>
        <v/>
      </c>
    </row>
    <row r="184">
      <c r="A184" s="2" t="n">
        <v>46281</v>
      </c>
      <c r="B184" s="3" t="n">
        <v>1</v>
      </c>
      <c r="C184" s="3" t="inlineStr">
        <is>
          <t>26I53</t>
        </is>
      </c>
      <c r="D184" s="3" t="n">
        <v>32009</v>
      </c>
      <c r="E184" s="3" t="n">
        <v>260</v>
      </c>
      <c r="F184" s="4" t="n">
        <v>3.04</v>
      </c>
      <c r="G184" s="4" t="n">
        <v>790.4</v>
      </c>
      <c r="H184" s="5" t="n">
        <v>0.8888888888888888</v>
      </c>
      <c r="I184" s="5" t="n">
        <v>0.2222222222222222</v>
      </c>
      <c r="J184" s="3" t="n"/>
      <c r="K184" s="3" t="n"/>
      <c r="L184" s="3" t="n"/>
      <c r="M184" s="3" t="n"/>
      <c r="N184" s="3" t="n"/>
      <c r="O184" s="3" t="inlineStr"/>
      <c r="P184" s="6">
        <f>IF($C184="","",IF(COUNTIF($C$2:$C184,$C184)=1,1,0))</f>
        <v/>
      </c>
    </row>
    <row r="185">
      <c r="A185" s="2" t="n">
        <v>46281</v>
      </c>
      <c r="B185" s="3" t="n">
        <v>1</v>
      </c>
      <c r="C185" s="3" t="inlineStr">
        <is>
          <t>26I54</t>
        </is>
      </c>
      <c r="D185" s="3" t="n">
        <v>32012</v>
      </c>
      <c r="E185" s="3" t="n">
        <v>450</v>
      </c>
      <c r="F185" s="4" t="n">
        <v>2.1</v>
      </c>
      <c r="G185" s="4" t="n">
        <v>945</v>
      </c>
      <c r="H185" s="5" t="n">
        <v>0.1958333333333333</v>
      </c>
      <c r="I185" s="5" t="n">
        <v>0.5381944444444444</v>
      </c>
      <c r="J185" s="3" t="n"/>
      <c r="K185" s="3" t="n"/>
      <c r="L185" s="3" t="n"/>
      <c r="M185" s="3" t="n"/>
      <c r="N185" s="3" t="n"/>
      <c r="O185" s="3" t="inlineStr"/>
      <c r="P185" s="6">
        <f>IF($C185="","",IF(COUNTIF($C$2:$C185,$C185)=1,1,0))</f>
        <v/>
      </c>
    </row>
    <row r="186">
      <c r="A186" s="2" t="n">
        <v>46281</v>
      </c>
      <c r="B186" s="3" t="n">
        <v>2</v>
      </c>
      <c r="C186" s="3" t="inlineStr">
        <is>
          <t>26I651</t>
        </is>
      </c>
      <c r="D186" s="3" t="n">
        <v>22030</v>
      </c>
      <c r="E186" s="3" t="n">
        <v>262</v>
      </c>
      <c r="F186" s="4" t="n">
        <v>2.64</v>
      </c>
      <c r="G186" s="4" t="n">
        <v>691.6799999999999</v>
      </c>
      <c r="H186" s="5" t="n">
        <v>0.6965277777777777</v>
      </c>
      <c r="I186" s="5" t="n">
        <v>0.2465277777777778</v>
      </c>
      <c r="J186" s="3" t="n"/>
      <c r="K186" s="3" t="n"/>
      <c r="L186" s="3" t="n"/>
      <c r="M186" s="3" t="n"/>
      <c r="N186" s="3" t="n"/>
      <c r="O186" s="3" t="inlineStr"/>
      <c r="P186" s="6">
        <f>IF($C186="","",IF(COUNTIF($C$2:$C186,$C186)=1,1,0))</f>
        <v/>
      </c>
    </row>
    <row r="187">
      <c r="A187" s="2" t="n">
        <v>46281</v>
      </c>
      <c r="B187" s="3" t="n">
        <v>2</v>
      </c>
      <c r="C187" s="3" t="inlineStr">
        <is>
          <t>26I653</t>
        </is>
      </c>
      <c r="D187" s="3" t="n">
        <v>22002</v>
      </c>
      <c r="E187" s="3" t="n">
        <v>509</v>
      </c>
      <c r="F187" s="4" t="n">
        <v>1.7</v>
      </c>
      <c r="G187" s="4" t="n">
        <v>865.3</v>
      </c>
      <c r="H187" s="5" t="n">
        <v>0.2173611111111111</v>
      </c>
      <c r="I187" s="5" t="n">
        <v>0.5833333333333334</v>
      </c>
      <c r="J187" s="3" t="n"/>
      <c r="K187" s="3" t="n"/>
      <c r="L187" s="3" t="n"/>
      <c r="M187" s="3" t="n"/>
      <c r="N187" s="3" t="n"/>
      <c r="O187" s="3" t="inlineStr"/>
      <c r="P187" s="6">
        <f>IF($C187="","",IF(COUNTIF($C$2:$C187,$C187)=1,1,0))</f>
        <v/>
      </c>
    </row>
    <row r="188">
      <c r="A188" s="7" t="n">
        <v>46281</v>
      </c>
      <c r="B188" s="8" t="n">
        <v>3</v>
      </c>
      <c r="C188" s="8" t="inlineStr">
        <is>
          <t>26I650</t>
        </is>
      </c>
      <c r="D188" s="8" t="inlineStr">
        <is>
          <t>P0005</t>
        </is>
      </c>
      <c r="E188" s="8" t="n">
        <v>146</v>
      </c>
      <c r="F188" s="9" t="n">
        <v>7.3</v>
      </c>
      <c r="G188" s="9" t="n">
        <v>1065.8</v>
      </c>
      <c r="H188" s="10" t="n">
        <v>0.48125</v>
      </c>
      <c r="I188" s="10" t="n">
        <v>0.96875</v>
      </c>
      <c r="J188" s="8" t="n"/>
      <c r="K188" s="8" t="n"/>
      <c r="L188" s="8" t="n"/>
      <c r="M188" s="8" t="n"/>
      <c r="N188" s="8" t="n"/>
      <c r="O188" s="11" t="inlineStr">
        <is>
          <t>MS No mismatch between sheets - verify</t>
        </is>
      </c>
      <c r="P188" s="6">
        <f>IF($C188="","",IF(COUNTIF($C$2:$C188,$C188)=1,1,0))</f>
        <v/>
      </c>
    </row>
    <row r="189">
      <c r="A189" s="7" t="n">
        <v>46281</v>
      </c>
      <c r="B189" s="8" t="n">
        <v>3</v>
      </c>
      <c r="C189" s="8" t="inlineStr">
        <is>
          <t>26I650</t>
        </is>
      </c>
      <c r="D189" s="8" t="n">
        <v>4435</v>
      </c>
      <c r="E189" s="8" t="n">
        <v>4</v>
      </c>
      <c r="F189" s="9" t="n">
        <v>7.3</v>
      </c>
      <c r="G189" s="9" t="n">
        <v>29.2</v>
      </c>
      <c r="H189" s="10" t="n">
        <v>0.48125</v>
      </c>
      <c r="I189" s="10" t="n">
        <v>0.96875</v>
      </c>
      <c r="J189" s="8" t="n"/>
      <c r="K189" s="8" t="n"/>
      <c r="L189" s="8" t="n"/>
      <c r="M189" s="8" t="n"/>
      <c r="N189" s="8" t="n"/>
      <c r="O189" s="11" t="inlineStr">
        <is>
          <t>MS No mismatch between sheets - verify</t>
        </is>
      </c>
      <c r="P189" s="6">
        <f>IF($C189="","",IF(COUNTIF($C$2:$C189,$C189)=1,1,0))</f>
        <v/>
      </c>
    </row>
    <row r="190">
      <c r="A190" s="2" t="n">
        <v>46281</v>
      </c>
      <c r="B190" s="3" t="n">
        <v>3</v>
      </c>
      <c r="C190" s="3" t="inlineStr">
        <is>
          <t>26I652</t>
        </is>
      </c>
      <c r="D190" s="3" t="n">
        <v>4065</v>
      </c>
      <c r="E190" s="3" t="n">
        <v>142</v>
      </c>
      <c r="F190" s="4" t="n">
        <v>7.82</v>
      </c>
      <c r="G190" s="4" t="n">
        <v>1110.44</v>
      </c>
      <c r="H190" s="5" t="n">
        <v>0.9430555555555555</v>
      </c>
      <c r="I190" s="5" t="n">
        <v>0.375</v>
      </c>
      <c r="J190" s="3" t="n"/>
      <c r="K190" s="3" t="n"/>
      <c r="L190" s="3" t="n"/>
      <c r="M190" s="3" t="n"/>
      <c r="N190" s="3" t="n"/>
      <c r="O190" s="3" t="inlineStr"/>
      <c r="P190" s="6">
        <f>IF($C190="","",IF(COUNTIF($C$2:$C190,$C190)=1,1,0))</f>
        <v/>
      </c>
    </row>
    <row r="191">
      <c r="A191" s="2" t="n">
        <v>46281</v>
      </c>
      <c r="B191" s="3" t="n">
        <v>3</v>
      </c>
      <c r="C191" s="3" t="inlineStr">
        <is>
          <t>26I652</t>
        </is>
      </c>
      <c r="D191" s="3" t="n">
        <v>4427</v>
      </c>
      <c r="E191" s="3" t="n">
        <v>1</v>
      </c>
      <c r="F191" s="4" t="n">
        <v>7.92</v>
      </c>
      <c r="G191" s="4" t="n">
        <v>7.92</v>
      </c>
      <c r="H191" s="5" t="n">
        <v>0.9430555555555555</v>
      </c>
      <c r="I191" s="5" t="n">
        <v>0.375</v>
      </c>
      <c r="J191" s="3" t="n"/>
      <c r="K191" s="3" t="n"/>
      <c r="L191" s="3" t="n"/>
      <c r="M191" s="3" t="n"/>
      <c r="N191" s="3" t="n"/>
      <c r="O191" s="3" t="inlineStr"/>
      <c r="P191" s="6">
        <f>IF($C191="","",IF(COUNTIF($C$2:$C191,$C191)=1,1,0))</f>
        <v/>
      </c>
    </row>
    <row r="192">
      <c r="A192" s="2" t="n">
        <v>46281</v>
      </c>
      <c r="B192" s="3" t="n">
        <v>3</v>
      </c>
      <c r="C192" s="3" t="inlineStr">
        <is>
          <t>26I652</t>
        </is>
      </c>
      <c r="D192" s="3" t="n">
        <v>4066</v>
      </c>
      <c r="E192" s="3" t="n">
        <v>1</v>
      </c>
      <c r="F192" s="4" t="n">
        <v>7.82</v>
      </c>
      <c r="G192" s="4" t="n">
        <v>7.82</v>
      </c>
      <c r="H192" s="5" t="n">
        <v>0.9430555555555555</v>
      </c>
      <c r="I192" s="5" t="n">
        <v>0.375</v>
      </c>
      <c r="J192" s="3" t="n"/>
      <c r="K192" s="3" t="n"/>
      <c r="L192" s="3" t="n"/>
      <c r="M192" s="3" t="n"/>
      <c r="N192" s="3" t="n"/>
      <c r="O192" s="3" t="inlineStr"/>
      <c r="P192" s="6">
        <f>IF($C192="","",IF(COUNTIF($C$2:$C192,$C192)=1,1,0))</f>
        <v/>
      </c>
    </row>
    <row r="193">
      <c r="A193" s="2" t="n">
        <v>46281</v>
      </c>
      <c r="B193" s="3" t="n">
        <v>4</v>
      </c>
      <c r="C193" s="3" t="inlineStr">
        <is>
          <t>26I649</t>
        </is>
      </c>
      <c r="D193" s="3" t="n">
        <v>4509</v>
      </c>
      <c r="E193" s="3" t="n">
        <v>110</v>
      </c>
      <c r="F193" s="4" t="n">
        <v>8.119999999999999</v>
      </c>
      <c r="G193" s="4" t="n">
        <v>893.2</v>
      </c>
      <c r="H193" s="5" t="n">
        <v>0.3236111111111111</v>
      </c>
      <c r="I193" s="5" t="n">
        <v>0.7222222222222222</v>
      </c>
      <c r="J193" s="3" t="n"/>
      <c r="K193" s="3" t="n"/>
      <c r="L193" s="3" t="n"/>
      <c r="M193" s="3" t="n"/>
      <c r="N193" s="3" t="n"/>
      <c r="O193" s="3" t="inlineStr"/>
      <c r="P193" s="6">
        <f>IF($C193="","",IF(COUNTIF($C$2:$C193,$C193)=1,1,0))</f>
        <v/>
      </c>
    </row>
    <row r="194">
      <c r="A194" s="2" t="n">
        <v>46281</v>
      </c>
      <c r="B194" s="3" t="n">
        <v>4</v>
      </c>
      <c r="C194" s="3" t="inlineStr">
        <is>
          <t>26I644</t>
        </is>
      </c>
      <c r="D194" s="3" t="n">
        <v>4065</v>
      </c>
      <c r="E194" s="3" t="n">
        <v>144</v>
      </c>
      <c r="F194" s="4" t="n">
        <v>7.82</v>
      </c>
      <c r="G194" s="4" t="n">
        <v>1126.08</v>
      </c>
      <c r="H194" s="5" t="n">
        <v>0.6902777777777778</v>
      </c>
      <c r="I194" s="5" t="n">
        <v>0.1701388888888889</v>
      </c>
      <c r="J194" s="3" t="n"/>
      <c r="K194" s="3" t="n"/>
      <c r="L194" s="3" t="n"/>
      <c r="M194" s="3" t="n"/>
      <c r="N194" s="3" t="n"/>
      <c r="O194" s="3" t="inlineStr"/>
      <c r="P194" s="6">
        <f>IF($C194="","",IF(COUNTIF($C$2:$C194,$C194)=1,1,0))</f>
        <v/>
      </c>
    </row>
    <row r="195">
      <c r="A195" s="2" t="n">
        <v>46281</v>
      </c>
      <c r="B195" s="3" t="n">
        <v>4</v>
      </c>
      <c r="C195" s="3" t="inlineStr">
        <is>
          <t>26I656</t>
        </is>
      </c>
      <c r="D195" s="3" t="n">
        <v>9034</v>
      </c>
      <c r="E195" s="3" t="n">
        <v>1500</v>
      </c>
      <c r="F195" s="4" t="n">
        <v>0.32</v>
      </c>
      <c r="G195" s="4" t="n">
        <v>480</v>
      </c>
      <c r="H195" s="5" t="n">
        <v>0.1444444444444444</v>
      </c>
      <c r="I195" s="5" t="n">
        <v>0.4659722222222222</v>
      </c>
      <c r="J195" s="3" t="n"/>
      <c r="K195" s="3" t="n"/>
      <c r="L195" s="3" t="n"/>
      <c r="M195" s="3" t="n"/>
      <c r="N195" s="3" t="n"/>
      <c r="O195" s="3" t="inlineStr"/>
      <c r="P195" s="6">
        <f>IF($C195="","",IF(COUNTIF($C$2:$C195,$C195)=1,1,0))</f>
        <v/>
      </c>
    </row>
    <row r="196">
      <c r="A196" s="2" t="n">
        <v>46282</v>
      </c>
      <c r="B196" s="3" t="n">
        <v>1</v>
      </c>
      <c r="C196" s="3" t="inlineStr">
        <is>
          <t>26I56</t>
        </is>
      </c>
      <c r="D196" s="3" t="n">
        <v>32009</v>
      </c>
      <c r="E196" s="3" t="n">
        <v>260</v>
      </c>
      <c r="F196" s="4" t="n">
        <v>3.04</v>
      </c>
      <c r="G196" s="4" t="n">
        <v>790.4</v>
      </c>
      <c r="H196" s="5" t="n">
        <v>0.5097222222222222</v>
      </c>
      <c r="I196" s="5" t="n">
        <v>0.8506944444444444</v>
      </c>
      <c r="J196" s="3" t="n"/>
      <c r="K196" s="3" t="n"/>
      <c r="L196" s="3" t="n"/>
      <c r="M196" s="3" t="n"/>
      <c r="N196" s="3" t="n"/>
      <c r="O196" s="3" t="inlineStr"/>
      <c r="P196" s="6">
        <f>IF($C196="","",IF(COUNTIF($C$2:$C196,$C196)=1,1,0))</f>
        <v/>
      </c>
    </row>
    <row r="197">
      <c r="A197" s="2" t="n">
        <v>46282</v>
      </c>
      <c r="B197" s="3" t="n">
        <v>1</v>
      </c>
      <c r="C197" s="3" t="inlineStr">
        <is>
          <t>26I55</t>
        </is>
      </c>
      <c r="D197" s="3" t="n">
        <v>32012</v>
      </c>
      <c r="E197" s="3" t="n">
        <v>450</v>
      </c>
      <c r="F197" s="4" t="n">
        <v>2.1</v>
      </c>
      <c r="G197" s="4" t="n">
        <v>945</v>
      </c>
      <c r="H197" s="5" t="n">
        <v>0.8229166666666666</v>
      </c>
      <c r="I197" s="5" t="n">
        <v>0.1666666666666667</v>
      </c>
      <c r="J197" s="3" t="n"/>
      <c r="K197" s="3" t="n"/>
      <c r="L197" s="3" t="n"/>
      <c r="M197" s="3" t="n"/>
      <c r="N197" s="3" t="n"/>
      <c r="O197" s="3" t="inlineStr"/>
      <c r="P197" s="6">
        <f>IF($C197="","",IF(COUNTIF($C$2:$C197,$C197)=1,1,0))</f>
        <v/>
      </c>
    </row>
    <row r="198">
      <c r="A198" s="2" t="n">
        <v>46282</v>
      </c>
      <c r="B198" s="3" t="n">
        <v>1</v>
      </c>
      <c r="C198" s="3" t="inlineStr">
        <is>
          <t>26I59</t>
        </is>
      </c>
      <c r="D198" s="3" t="n">
        <v>32009</v>
      </c>
      <c r="E198" s="3" t="n">
        <v>260</v>
      </c>
      <c r="F198" s="4" t="n">
        <v>3.04</v>
      </c>
      <c r="G198" s="4" t="n">
        <v>790.4</v>
      </c>
      <c r="H198" s="5" t="n">
        <v>0.1388888888888889</v>
      </c>
      <c r="I198" s="3" t="n"/>
      <c r="J198" s="3" t="n"/>
      <c r="K198" s="3" t="n"/>
      <c r="L198" s="3" t="n"/>
      <c r="M198" s="3" t="n"/>
      <c r="N198" s="3" t="n"/>
      <c r="O198" s="3" t="inlineStr"/>
      <c r="P198" s="6">
        <f>IF($C198="","",IF(COUNTIF($C$2:$C198,$C198)=1,1,0))</f>
        <v/>
      </c>
    </row>
    <row r="199">
      <c r="A199" s="2" t="n">
        <v>46282</v>
      </c>
      <c r="B199" s="3" t="n">
        <v>2</v>
      </c>
      <c r="C199" s="3" t="inlineStr">
        <is>
          <t>26I57</t>
        </is>
      </c>
      <c r="D199" s="3" t="n">
        <v>32009</v>
      </c>
      <c r="E199" s="3" t="n">
        <v>260</v>
      </c>
      <c r="F199" s="4" t="n">
        <v>3.04</v>
      </c>
      <c r="G199" s="4" t="n">
        <v>790.4</v>
      </c>
      <c r="H199" s="5" t="n">
        <v>0.5625</v>
      </c>
      <c r="I199" s="5" t="n">
        <v>0.9131944444444444</v>
      </c>
      <c r="J199" s="3" t="n"/>
      <c r="K199" s="3" t="n"/>
      <c r="L199" s="3" t="n"/>
      <c r="M199" s="3" t="n"/>
      <c r="N199" s="3" t="n"/>
      <c r="O199" s="3" t="inlineStr"/>
      <c r="P199" s="6">
        <f>IF($C199="","",IF(COUNTIF($C$2:$C199,$C199)=1,1,0))</f>
        <v/>
      </c>
    </row>
    <row r="200">
      <c r="A200" s="2" t="n">
        <v>46282</v>
      </c>
      <c r="B200" s="3" t="n">
        <v>2</v>
      </c>
      <c r="C200" s="3" t="inlineStr">
        <is>
          <t>26I58</t>
        </is>
      </c>
      <c r="D200" s="3" t="n">
        <v>32009</v>
      </c>
      <c r="E200" s="3" t="n">
        <v>260</v>
      </c>
      <c r="F200" s="4" t="n">
        <v>3.04</v>
      </c>
      <c r="G200" s="4" t="n">
        <v>790.4</v>
      </c>
      <c r="H200" s="5" t="n">
        <v>0.8840277777777777</v>
      </c>
      <c r="I200" s="5" t="n">
        <v>0.2375</v>
      </c>
      <c r="J200" s="3" t="n"/>
      <c r="K200" s="3" t="n"/>
      <c r="L200" s="3" t="n"/>
      <c r="M200" s="3" t="n"/>
      <c r="N200" s="3" t="n"/>
      <c r="O200" s="3" t="inlineStr"/>
      <c r="P200" s="6">
        <f>IF($C200="","",IF(COUNTIF($C$2:$C200,$C200)=1,1,0))</f>
        <v/>
      </c>
    </row>
    <row r="201">
      <c r="A201" s="2" t="n">
        <v>46282</v>
      </c>
      <c r="B201" s="3" t="n">
        <v>2</v>
      </c>
      <c r="C201" s="3" t="inlineStr">
        <is>
          <t>26I660</t>
        </is>
      </c>
      <c r="D201" s="3" t="n">
        <v>14013</v>
      </c>
      <c r="E201" s="3" t="n">
        <v>22</v>
      </c>
      <c r="F201" s="4" t="n">
        <v>48</v>
      </c>
      <c r="G201" s="4" t="n">
        <v>1056</v>
      </c>
      <c r="H201" s="5" t="n">
        <v>0.2097222222222222</v>
      </c>
      <c r="I201" s="3" t="n"/>
      <c r="J201" s="3" t="n"/>
      <c r="K201" s="3" t="n"/>
      <c r="L201" s="3" t="n"/>
      <c r="M201" s="3" t="n"/>
      <c r="N201" s="3" t="n"/>
      <c r="O201" s="3" t="inlineStr"/>
      <c r="P201" s="6">
        <f>IF($C201="","",IF(COUNTIF($C$2:$C201,$C201)=1,1,0))</f>
        <v/>
      </c>
    </row>
    <row r="202">
      <c r="A202" s="2" t="n">
        <v>46282</v>
      </c>
      <c r="B202" s="3" t="n">
        <v>3</v>
      </c>
      <c r="C202" s="3" t="inlineStr">
        <is>
          <t>26I655</t>
        </is>
      </c>
      <c r="D202" s="3" t="inlineStr">
        <is>
          <t>P0005</t>
        </is>
      </c>
      <c r="E202" s="3" t="n">
        <v>100</v>
      </c>
      <c r="F202" s="4" t="n">
        <v>7.3</v>
      </c>
      <c r="G202" s="4" t="n">
        <v>730</v>
      </c>
      <c r="H202" s="5" t="n">
        <v>0.3479166666666667</v>
      </c>
      <c r="I202" s="5" t="n">
        <v>0.8055555555555556</v>
      </c>
      <c r="J202" s="3" t="n"/>
      <c r="K202" s="3" t="n"/>
      <c r="L202" s="3" t="n"/>
      <c r="M202" s="3" t="n"/>
      <c r="N202" s="3" t="n"/>
      <c r="O202" s="3" t="inlineStr"/>
      <c r="P202" s="6">
        <f>IF($C202="","",IF(COUNTIF($C$2:$C202,$C202)=1,1,0))</f>
        <v/>
      </c>
    </row>
    <row r="203">
      <c r="A203" s="2" t="n">
        <v>46282</v>
      </c>
      <c r="B203" s="3" t="n">
        <v>3</v>
      </c>
      <c r="C203" s="3" t="inlineStr">
        <is>
          <t>26I658</t>
        </is>
      </c>
      <c r="D203" s="3" t="n">
        <v>4065</v>
      </c>
      <c r="E203" s="3" t="n">
        <v>144</v>
      </c>
      <c r="F203" s="4" t="n">
        <v>7.82</v>
      </c>
      <c r="G203" s="4" t="n">
        <v>1126.08</v>
      </c>
      <c r="H203" s="5" t="n">
        <v>0.9041666666666667</v>
      </c>
      <c r="I203" s="5" t="n">
        <v>0.3506944444444444</v>
      </c>
      <c r="J203" s="3" t="n"/>
      <c r="K203" s="3" t="n"/>
      <c r="L203" s="3" t="n"/>
      <c r="M203" s="3" t="n"/>
      <c r="N203" s="3" t="n"/>
      <c r="O203" s="3" t="inlineStr"/>
      <c r="P203" s="6">
        <f>IF($C203="","",IF(COUNTIF($C$2:$C203,$C203)=1,1,0))</f>
        <v/>
      </c>
    </row>
    <row r="204">
      <c r="A204" s="2" t="n">
        <v>46282</v>
      </c>
      <c r="B204" s="3" t="n">
        <v>4</v>
      </c>
      <c r="C204" s="3" t="inlineStr">
        <is>
          <t>26I654</t>
        </is>
      </c>
      <c r="D204" s="3" t="n">
        <v>22004</v>
      </c>
      <c r="E204" s="3" t="n">
        <v>166</v>
      </c>
      <c r="F204" s="4" t="n">
        <v>1.2</v>
      </c>
      <c r="G204" s="4" t="n">
        <v>199.2</v>
      </c>
      <c r="H204" s="5" t="n">
        <v>0.4361111111111111</v>
      </c>
      <c r="I204" s="5" t="n">
        <v>0.8611111111111112</v>
      </c>
      <c r="J204" s="3" t="n"/>
      <c r="K204" s="3" t="n"/>
      <c r="L204" s="3" t="n"/>
      <c r="M204" s="3" t="n"/>
      <c r="N204" s="3" t="n"/>
      <c r="O204" s="3" t="inlineStr"/>
      <c r="P204" s="6">
        <f>IF($C204="","",IF(COUNTIF($C$2:$C204,$C204)=1,1,0))</f>
        <v/>
      </c>
    </row>
    <row r="205">
      <c r="A205" s="2" t="n">
        <v>46282</v>
      </c>
      <c r="B205" s="3" t="n">
        <v>4</v>
      </c>
      <c r="C205" s="3" t="inlineStr">
        <is>
          <t>26I654</t>
        </is>
      </c>
      <c r="D205" s="3" t="n">
        <v>4532</v>
      </c>
      <c r="E205" s="3" t="n">
        <v>264</v>
      </c>
      <c r="F205" s="4" t="n">
        <v>0.44</v>
      </c>
      <c r="G205" s="4" t="n">
        <v>116.16</v>
      </c>
      <c r="H205" s="5" t="n">
        <v>0.4361111111111111</v>
      </c>
      <c r="I205" s="5" t="n">
        <v>0.8611111111111112</v>
      </c>
      <c r="J205" s="3" t="n"/>
      <c r="K205" s="3" t="n"/>
      <c r="L205" s="3" t="n"/>
      <c r="M205" s="3" t="n"/>
      <c r="N205" s="3" t="n"/>
      <c r="O205" s="3" t="inlineStr"/>
      <c r="P205" s="6">
        <f>IF($C205="","",IF(COUNTIF($C$2:$C205,$C205)=1,1,0))</f>
        <v/>
      </c>
    </row>
    <row r="206">
      <c r="A206" s="2" t="n">
        <v>46282</v>
      </c>
      <c r="B206" s="3" t="n">
        <v>4</v>
      </c>
      <c r="C206" s="3" t="inlineStr">
        <is>
          <t>26I654</t>
        </is>
      </c>
      <c r="D206" s="3" t="n">
        <v>3003</v>
      </c>
      <c r="E206" s="3" t="n">
        <v>560</v>
      </c>
      <c r="F206" s="4" t="n">
        <v>1.2</v>
      </c>
      <c r="G206" s="4" t="n">
        <v>672</v>
      </c>
      <c r="H206" s="5" t="n">
        <v>0.4361111111111111</v>
      </c>
      <c r="I206" s="5" t="n">
        <v>0.8611111111111112</v>
      </c>
      <c r="J206" s="3" t="n"/>
      <c r="K206" s="3" t="n"/>
      <c r="L206" s="3" t="n"/>
      <c r="M206" s="3" t="n"/>
      <c r="N206" s="3" t="n"/>
      <c r="O206" s="3" t="inlineStr"/>
      <c r="P206" s="6">
        <f>IF($C206="","",IF(COUNTIF($C$2:$C206,$C206)=1,1,0))</f>
        <v/>
      </c>
    </row>
    <row r="207">
      <c r="A207" s="7" t="n">
        <v>46282</v>
      </c>
      <c r="B207" s="8" t="n">
        <v>4</v>
      </c>
      <c r="C207" s="8" t="inlineStr">
        <is>
          <t>26I657</t>
        </is>
      </c>
      <c r="D207" s="8" t="n">
        <v>40006</v>
      </c>
      <c r="E207" s="8" t="n">
        <v>2</v>
      </c>
      <c r="F207" s="9" t="n">
        <v>26.5</v>
      </c>
      <c r="G207" s="9" t="n">
        <v>53</v>
      </c>
      <c r="H207" s="10" t="n">
        <v>0.9090277777777778</v>
      </c>
      <c r="I207" s="8" t="n"/>
      <c r="J207" s="8" t="n"/>
      <c r="K207" s="8" t="n"/>
      <c r="L207" s="8" t="n"/>
      <c r="M207" s="8" t="n"/>
      <c r="N207" s="8" t="n"/>
      <c r="O207" s="11" t="inlineStr">
        <is>
          <t>MS No mismatch between sheets - verify</t>
        </is>
      </c>
      <c r="P207" s="6">
        <f>IF($C207="","",IF(COUNTIF($C$2:$C207,$C207)=1,1,0))</f>
        <v/>
      </c>
    </row>
    <row r="208">
      <c r="A208" s="7" t="n">
        <v>46282</v>
      </c>
      <c r="B208" s="8" t="n">
        <v>4</v>
      </c>
      <c r="C208" s="8" t="inlineStr">
        <is>
          <t>26I657</t>
        </is>
      </c>
      <c r="D208" s="8" t="n">
        <v>4524</v>
      </c>
      <c r="E208" s="8" t="n">
        <v>215</v>
      </c>
      <c r="F208" s="9" t="n">
        <v>4</v>
      </c>
      <c r="G208" s="9" t="n">
        <v>860</v>
      </c>
      <c r="H208" s="10" t="n">
        <v>0.9090277777777778</v>
      </c>
      <c r="I208" s="8" t="n"/>
      <c r="J208" s="8" t="n"/>
      <c r="K208" s="8" t="n"/>
      <c r="L208" s="8" t="n"/>
      <c r="M208" s="8" t="n"/>
      <c r="N208" s="8" t="n"/>
      <c r="O208" s="11" t="inlineStr">
        <is>
          <t>MS No mismatch between sheets - verify</t>
        </is>
      </c>
      <c r="P208" s="6">
        <f>IF($C208="","",IF(COUNTIF($C$2:$C208,$C208)=1,1,0))</f>
        <v/>
      </c>
    </row>
    <row r="209">
      <c r="P209" s="6">
        <f>IF($C209="","",IF(COUNTIF($C$2:$C209,$C209)=1,1,0))</f>
        <v/>
      </c>
    </row>
    <row r="210">
      <c r="P210" s="6">
        <f>IF($C210="","",IF(COUNTIF($C$2:$C210,$C210)=1,1,0))</f>
        <v/>
      </c>
    </row>
    <row r="211">
      <c r="P211" s="6">
        <f>IF($C211="","",IF(COUNTIF($C$2:$C211,$C211)=1,1,0))</f>
        <v/>
      </c>
    </row>
    <row r="212">
      <c r="P212" s="6">
        <f>IF($C212="","",IF(COUNTIF($C$2:$C212,$C212)=1,1,0))</f>
        <v/>
      </c>
    </row>
    <row r="213">
      <c r="P213" s="6">
        <f>IF($C213="","",IF(COUNTIF($C$2:$C213,$C213)=1,1,0))</f>
        <v/>
      </c>
    </row>
    <row r="214">
      <c r="P214" s="6">
        <f>IF($C214="","",IF(COUNTIF($C$2:$C214,$C214)=1,1,0))</f>
        <v/>
      </c>
    </row>
    <row r="215">
      <c r="P215" s="6">
        <f>IF($C215="","",IF(COUNTIF($C$2:$C215,$C215)=1,1,0))</f>
        <v/>
      </c>
    </row>
    <row r="216">
      <c r="P216" s="6">
        <f>IF($C216="","",IF(COUNTIF($C$2:$C216,$C216)=1,1,0))</f>
        <v/>
      </c>
    </row>
    <row r="217">
      <c r="P217" s="6">
        <f>IF($C217="","",IF(COUNTIF($C$2:$C217,$C217)=1,1,0))</f>
        <v/>
      </c>
    </row>
    <row r="218">
      <c r="P218" s="6">
        <f>IF($C218="","",IF(COUNTIF($C$2:$C218,$C218)=1,1,0))</f>
        <v/>
      </c>
    </row>
    <row r="219">
      <c r="P219" s="6">
        <f>IF($C219="","",IF(COUNTIF($C$2:$C219,$C219)=1,1,0))</f>
        <v/>
      </c>
    </row>
    <row r="220">
      <c r="P220" s="6">
        <f>IF($C220="","",IF(COUNTIF($C$2:$C220,$C220)=1,1,0))</f>
        <v/>
      </c>
    </row>
    <row r="221">
      <c r="P221" s="6">
        <f>IF($C221="","",IF(COUNTIF($C$2:$C221,$C221)=1,1,0))</f>
        <v/>
      </c>
    </row>
    <row r="222">
      <c r="P222" s="6">
        <f>IF($C222="","",IF(COUNTIF($C$2:$C222,$C222)=1,1,0))</f>
        <v/>
      </c>
    </row>
    <row r="223">
      <c r="P223" s="6">
        <f>IF($C223="","",IF(COUNTIF($C$2:$C223,$C223)=1,1,0))</f>
        <v/>
      </c>
    </row>
    <row r="224">
      <c r="P224" s="6">
        <f>IF($C224="","",IF(COUNTIF($C$2:$C224,$C224)=1,1,0))</f>
        <v/>
      </c>
    </row>
    <row r="225">
      <c r="P225" s="6">
        <f>IF($C225="","",IF(COUNTIF($C$2:$C225,$C225)=1,1,0))</f>
        <v/>
      </c>
    </row>
    <row r="226">
      <c r="P226" s="6">
        <f>IF($C226="","",IF(COUNTIF($C$2:$C226,$C226)=1,1,0))</f>
        <v/>
      </c>
    </row>
    <row r="227">
      <c r="P227" s="6">
        <f>IF($C227="","",IF(COUNTIF($C$2:$C227,$C227)=1,1,0))</f>
        <v/>
      </c>
    </row>
    <row r="228">
      <c r="P228" s="6">
        <f>IF($C228="","",IF(COUNTIF($C$2:$C228,$C228)=1,1,0))</f>
        <v/>
      </c>
    </row>
    <row r="229">
      <c r="P229" s="6">
        <f>IF($C229="","",IF(COUNTIF($C$2:$C229,$C229)=1,1,0))</f>
        <v/>
      </c>
    </row>
    <row r="230">
      <c r="P230" s="6">
        <f>IF($C230="","",IF(COUNTIF($C$2:$C230,$C230)=1,1,0))</f>
        <v/>
      </c>
    </row>
    <row r="231">
      <c r="P231" s="6">
        <f>IF($C231="","",IF(COUNTIF($C$2:$C231,$C231)=1,1,0))</f>
        <v/>
      </c>
    </row>
    <row r="232">
      <c r="P232" s="6">
        <f>IF($C232="","",IF(COUNTIF($C$2:$C232,$C232)=1,1,0))</f>
        <v/>
      </c>
    </row>
    <row r="233">
      <c r="P233" s="6">
        <f>IF($C233="","",IF(COUNTIF($C$2:$C233,$C233)=1,1,0))</f>
        <v/>
      </c>
    </row>
    <row r="234">
      <c r="P234" s="6">
        <f>IF($C234="","",IF(COUNTIF($C$2:$C234,$C234)=1,1,0))</f>
        <v/>
      </c>
    </row>
    <row r="235">
      <c r="P235" s="6">
        <f>IF($C235="","",IF(COUNTIF($C$2:$C235,$C235)=1,1,0))</f>
        <v/>
      </c>
    </row>
    <row r="236">
      <c r="P236" s="6">
        <f>IF($C236="","",IF(COUNTIF($C$2:$C236,$C236)=1,1,0))</f>
        <v/>
      </c>
    </row>
    <row r="237">
      <c r="P237" s="6">
        <f>IF($C237="","",IF(COUNTIF($C$2:$C237,$C237)=1,1,0))</f>
        <v/>
      </c>
    </row>
    <row r="238">
      <c r="P238" s="6">
        <f>IF($C238="","",IF(COUNTIF($C$2:$C238,$C238)=1,1,0))</f>
        <v/>
      </c>
    </row>
    <row r="239">
      <c r="P239" s="6">
        <f>IF($C239="","",IF(COUNTIF($C$2:$C239,$C239)=1,1,0))</f>
        <v/>
      </c>
    </row>
    <row r="240">
      <c r="P240" s="6">
        <f>IF($C240="","",IF(COUNTIF($C$2:$C240,$C240)=1,1,0))</f>
        <v/>
      </c>
    </row>
    <row r="241">
      <c r="P241" s="6">
        <f>IF($C241="","",IF(COUNTIF($C$2:$C241,$C241)=1,1,0))</f>
        <v/>
      </c>
    </row>
    <row r="242">
      <c r="P242" s="6">
        <f>IF($C242="","",IF(COUNTIF($C$2:$C242,$C242)=1,1,0))</f>
        <v/>
      </c>
    </row>
    <row r="243">
      <c r="P243" s="6">
        <f>IF($C243="","",IF(COUNTIF($C$2:$C243,$C243)=1,1,0))</f>
        <v/>
      </c>
    </row>
    <row r="244">
      <c r="P244" s="6">
        <f>IF($C244="","",IF(COUNTIF($C$2:$C244,$C244)=1,1,0))</f>
        <v/>
      </c>
    </row>
    <row r="245">
      <c r="P245" s="6">
        <f>IF($C245="","",IF(COUNTIF($C$2:$C245,$C245)=1,1,0))</f>
        <v/>
      </c>
    </row>
    <row r="246">
      <c r="P246" s="6">
        <f>IF($C246="","",IF(COUNTIF($C$2:$C246,$C246)=1,1,0))</f>
        <v/>
      </c>
    </row>
    <row r="247">
      <c r="P247" s="6">
        <f>IF($C247="","",IF(COUNTIF($C$2:$C247,$C247)=1,1,0))</f>
        <v/>
      </c>
    </row>
    <row r="248">
      <c r="P248" s="6">
        <f>IF($C248="","",IF(COUNTIF($C$2:$C248,$C248)=1,1,0))</f>
        <v/>
      </c>
    </row>
    <row r="249">
      <c r="P249" s="6">
        <f>IF($C249="","",IF(COUNTIF($C$2:$C249,$C249)=1,1,0))</f>
        <v/>
      </c>
    </row>
    <row r="250">
      <c r="P250" s="6">
        <f>IF($C250="","",IF(COUNTIF($C$2:$C250,$C250)=1,1,0))</f>
        <v/>
      </c>
    </row>
    <row r="251">
      <c r="P251" s="6">
        <f>IF($C251="","",IF(COUNTIF($C$2:$C251,$C251)=1,1,0))</f>
        <v/>
      </c>
    </row>
    <row r="252">
      <c r="P252" s="6">
        <f>IF($C252="","",IF(COUNTIF($C$2:$C252,$C252)=1,1,0))</f>
        <v/>
      </c>
    </row>
    <row r="253">
      <c r="P253" s="6">
        <f>IF($C253="","",IF(COUNTIF($C$2:$C253,$C253)=1,1,0))</f>
        <v/>
      </c>
    </row>
    <row r="254">
      <c r="P254" s="6">
        <f>IF($C254="","",IF(COUNTIF($C$2:$C254,$C254)=1,1,0))</f>
        <v/>
      </c>
    </row>
    <row r="255">
      <c r="P255" s="6">
        <f>IF($C255="","",IF(COUNTIF($C$2:$C255,$C255)=1,1,0))</f>
        <v/>
      </c>
    </row>
    <row r="256">
      <c r="P256" s="6">
        <f>IF($C256="","",IF(COUNTIF($C$2:$C256,$C256)=1,1,0))</f>
        <v/>
      </c>
    </row>
    <row r="257">
      <c r="P257" s="6">
        <f>IF($C257="","",IF(COUNTIF($C$2:$C257,$C257)=1,1,0))</f>
        <v/>
      </c>
    </row>
    <row r="258">
      <c r="P258" s="6">
        <f>IF($C258="","",IF(COUNTIF($C$2:$C258,$C258)=1,1,0))</f>
        <v/>
      </c>
    </row>
    <row r="259">
      <c r="P259" s="6">
        <f>IF($C259="","",IF(COUNTIF($C$2:$C259,$C259)=1,1,0))</f>
        <v/>
      </c>
    </row>
    <row r="260">
      <c r="P260" s="6">
        <f>IF($C260="","",IF(COUNTIF($C$2:$C260,$C260)=1,1,0))</f>
        <v/>
      </c>
    </row>
    <row r="261">
      <c r="P261" s="6">
        <f>IF($C261="","",IF(COUNTIF($C$2:$C261,$C261)=1,1,0))</f>
        <v/>
      </c>
    </row>
    <row r="262">
      <c r="P262" s="6">
        <f>IF($C262="","",IF(COUNTIF($C$2:$C262,$C262)=1,1,0))</f>
        <v/>
      </c>
    </row>
    <row r="263">
      <c r="P263" s="6">
        <f>IF($C263="","",IF(COUNTIF($C$2:$C263,$C263)=1,1,0))</f>
        <v/>
      </c>
    </row>
    <row r="264">
      <c r="P264" s="6">
        <f>IF($C264="","",IF(COUNTIF($C$2:$C264,$C264)=1,1,0))</f>
        <v/>
      </c>
    </row>
    <row r="265">
      <c r="P265" s="6">
        <f>IF($C265="","",IF(COUNTIF($C$2:$C265,$C265)=1,1,0))</f>
        <v/>
      </c>
    </row>
    <row r="266">
      <c r="P266" s="6">
        <f>IF($C266="","",IF(COUNTIF($C$2:$C266,$C266)=1,1,0))</f>
        <v/>
      </c>
    </row>
    <row r="267">
      <c r="P267" s="6">
        <f>IF($C267="","",IF(COUNTIF($C$2:$C267,$C267)=1,1,0))</f>
        <v/>
      </c>
    </row>
    <row r="268">
      <c r="P268" s="6">
        <f>IF($C268="","",IF(COUNTIF($C$2:$C268,$C268)=1,1,0))</f>
        <v/>
      </c>
    </row>
    <row r="269">
      <c r="P269" s="6">
        <f>IF($C269="","",IF(COUNTIF($C$2:$C269,$C269)=1,1,0))</f>
        <v/>
      </c>
    </row>
    <row r="270">
      <c r="P270" s="6">
        <f>IF($C270="","",IF(COUNTIF($C$2:$C270,$C270)=1,1,0))</f>
        <v/>
      </c>
    </row>
    <row r="271">
      <c r="P271" s="6">
        <f>IF($C271="","",IF(COUNTIF($C$2:$C271,$C271)=1,1,0))</f>
        <v/>
      </c>
    </row>
    <row r="272">
      <c r="P272" s="6">
        <f>IF($C272="","",IF(COUNTIF($C$2:$C272,$C272)=1,1,0))</f>
        <v/>
      </c>
    </row>
    <row r="273">
      <c r="P273" s="6">
        <f>IF($C273="","",IF(COUNTIF($C$2:$C273,$C273)=1,1,0))</f>
        <v/>
      </c>
    </row>
    <row r="274">
      <c r="P274" s="6">
        <f>IF($C274="","",IF(COUNTIF($C$2:$C274,$C274)=1,1,0))</f>
        <v/>
      </c>
    </row>
    <row r="275">
      <c r="P275" s="6">
        <f>IF($C275="","",IF(COUNTIF($C$2:$C275,$C275)=1,1,0))</f>
        <v/>
      </c>
    </row>
    <row r="276">
      <c r="P276" s="6">
        <f>IF($C276="","",IF(COUNTIF($C$2:$C276,$C276)=1,1,0))</f>
        <v/>
      </c>
    </row>
    <row r="277">
      <c r="P277" s="6">
        <f>IF($C277="","",IF(COUNTIF($C$2:$C277,$C277)=1,1,0))</f>
        <v/>
      </c>
    </row>
    <row r="278">
      <c r="P278" s="6">
        <f>IF($C278="","",IF(COUNTIF($C$2:$C278,$C278)=1,1,0))</f>
        <v/>
      </c>
    </row>
    <row r="279">
      <c r="P279" s="6">
        <f>IF($C279="","",IF(COUNTIF($C$2:$C279,$C279)=1,1,0))</f>
        <v/>
      </c>
    </row>
    <row r="280">
      <c r="P280" s="6">
        <f>IF($C280="","",IF(COUNTIF($C$2:$C280,$C280)=1,1,0))</f>
        <v/>
      </c>
    </row>
    <row r="281">
      <c r="P281" s="6">
        <f>IF($C281="","",IF(COUNTIF($C$2:$C281,$C281)=1,1,0))</f>
        <v/>
      </c>
    </row>
    <row r="282">
      <c r="P282" s="6">
        <f>IF($C282="","",IF(COUNTIF($C$2:$C282,$C282)=1,1,0))</f>
        <v/>
      </c>
    </row>
    <row r="283">
      <c r="P283" s="6">
        <f>IF($C283="","",IF(COUNTIF($C$2:$C283,$C283)=1,1,0))</f>
        <v/>
      </c>
    </row>
    <row r="284">
      <c r="P284" s="6">
        <f>IF($C284="","",IF(COUNTIF($C$2:$C284,$C284)=1,1,0))</f>
        <v/>
      </c>
    </row>
    <row r="285">
      <c r="P285" s="6">
        <f>IF($C285="","",IF(COUNTIF($C$2:$C285,$C285)=1,1,0))</f>
        <v/>
      </c>
    </row>
    <row r="286">
      <c r="P286" s="6">
        <f>IF($C286="","",IF(COUNTIF($C$2:$C286,$C286)=1,1,0))</f>
        <v/>
      </c>
    </row>
    <row r="287">
      <c r="P287" s="6">
        <f>IF($C287="","",IF(COUNTIF($C$2:$C287,$C287)=1,1,0))</f>
        <v/>
      </c>
    </row>
    <row r="288">
      <c r="P288" s="6">
        <f>IF($C288="","",IF(COUNTIF($C$2:$C288,$C288)=1,1,0))</f>
        <v/>
      </c>
    </row>
    <row r="289">
      <c r="P289" s="6">
        <f>IF($C289="","",IF(COUNTIF($C$2:$C289,$C289)=1,1,0))</f>
        <v/>
      </c>
    </row>
    <row r="290">
      <c r="P290" s="6">
        <f>IF($C290="","",IF(COUNTIF($C$2:$C290,$C290)=1,1,0))</f>
        <v/>
      </c>
    </row>
    <row r="291">
      <c r="P291" s="6">
        <f>IF($C291="","",IF(COUNTIF($C$2:$C291,$C291)=1,1,0))</f>
        <v/>
      </c>
    </row>
    <row r="292">
      <c r="P292" s="6">
        <f>IF($C292="","",IF(COUNTIF($C$2:$C292,$C292)=1,1,0))</f>
        <v/>
      </c>
    </row>
    <row r="293">
      <c r="P293" s="6">
        <f>IF($C293="","",IF(COUNTIF($C$2:$C293,$C293)=1,1,0))</f>
        <v/>
      </c>
    </row>
    <row r="294">
      <c r="P294" s="6">
        <f>IF($C294="","",IF(COUNTIF($C$2:$C294,$C294)=1,1,0))</f>
        <v/>
      </c>
    </row>
    <row r="295">
      <c r="P295" s="6">
        <f>IF($C295="","",IF(COUNTIF($C$2:$C295,$C295)=1,1,0))</f>
        <v/>
      </c>
    </row>
    <row r="296">
      <c r="P296" s="6">
        <f>IF($C296="","",IF(COUNTIF($C$2:$C296,$C296)=1,1,0))</f>
        <v/>
      </c>
    </row>
    <row r="297">
      <c r="P297" s="6">
        <f>IF($C297="","",IF(COUNTIF($C$2:$C297,$C297)=1,1,0))</f>
        <v/>
      </c>
    </row>
    <row r="298">
      <c r="P298" s="6">
        <f>IF($C298="","",IF(COUNTIF($C$2:$C298,$C298)=1,1,0))</f>
        <v/>
      </c>
    </row>
    <row r="299">
      <c r="P299" s="6">
        <f>IF($C299="","",IF(COUNTIF($C$2:$C299,$C299)=1,1,0))</f>
        <v/>
      </c>
    </row>
    <row r="300">
      <c r="P300" s="6">
        <f>IF($C300="","",IF(COUNTIF($C$2:$C300,$C300)=1,1,0))</f>
        <v/>
      </c>
    </row>
    <row r="301">
      <c r="P301" s="6">
        <f>IF($C301="","",IF(COUNTIF($C$2:$C301,$C301)=1,1,0))</f>
        <v/>
      </c>
    </row>
    <row r="302">
      <c r="P302" s="6">
        <f>IF($C302="","",IF(COUNTIF($C$2:$C302,$C302)=1,1,0))</f>
        <v/>
      </c>
    </row>
    <row r="303">
      <c r="P303" s="6">
        <f>IF($C303="","",IF(COUNTIF($C$2:$C303,$C303)=1,1,0))</f>
        <v/>
      </c>
    </row>
    <row r="304">
      <c r="P304" s="6">
        <f>IF($C304="","",IF(COUNTIF($C$2:$C304,$C304)=1,1,0))</f>
        <v/>
      </c>
    </row>
    <row r="305">
      <c r="P305" s="6">
        <f>IF($C305="","",IF(COUNTIF($C$2:$C305,$C305)=1,1,0))</f>
        <v/>
      </c>
    </row>
    <row r="306">
      <c r="P306" s="6">
        <f>IF($C306="","",IF(COUNTIF($C$2:$C306,$C306)=1,1,0))</f>
        <v/>
      </c>
    </row>
    <row r="307">
      <c r="P307" s="6">
        <f>IF($C307="","",IF(COUNTIF($C$2:$C307,$C307)=1,1,0))</f>
        <v/>
      </c>
    </row>
    <row r="308">
      <c r="P308" s="6">
        <f>IF($C308="","",IF(COUNTIF($C$2:$C308,$C308)=1,1,0))</f>
        <v/>
      </c>
    </row>
    <row r="309">
      <c r="P309" s="6">
        <f>IF($C309="","",IF(COUNTIF($C$2:$C309,$C309)=1,1,0))</f>
        <v/>
      </c>
    </row>
    <row r="310">
      <c r="P310" s="6">
        <f>IF($C310="","",IF(COUNTIF($C$2:$C310,$C310)=1,1,0))</f>
        <v/>
      </c>
    </row>
    <row r="311">
      <c r="P311" s="6">
        <f>IF($C311="","",IF(COUNTIF($C$2:$C311,$C311)=1,1,0))</f>
        <v/>
      </c>
    </row>
    <row r="312">
      <c r="P312" s="6">
        <f>IF($C312="","",IF(COUNTIF($C$2:$C312,$C312)=1,1,0))</f>
        <v/>
      </c>
    </row>
    <row r="313">
      <c r="P313" s="6">
        <f>IF($C313="","",IF(COUNTIF($C$2:$C313,$C313)=1,1,0))</f>
        <v/>
      </c>
    </row>
    <row r="314">
      <c r="P314" s="6">
        <f>IF($C314="","",IF(COUNTIF($C$2:$C314,$C314)=1,1,0))</f>
        <v/>
      </c>
    </row>
    <row r="315">
      <c r="P315" s="6">
        <f>IF($C315="","",IF(COUNTIF($C$2:$C315,$C315)=1,1,0))</f>
        <v/>
      </c>
    </row>
    <row r="316">
      <c r="P316" s="6">
        <f>IF($C316="","",IF(COUNTIF($C$2:$C316,$C316)=1,1,0))</f>
        <v/>
      </c>
    </row>
    <row r="317">
      <c r="P317" s="6">
        <f>IF($C317="","",IF(COUNTIF($C$2:$C317,$C317)=1,1,0))</f>
        <v/>
      </c>
    </row>
    <row r="318">
      <c r="P318" s="6">
        <f>IF($C318="","",IF(COUNTIF($C$2:$C318,$C318)=1,1,0))</f>
        <v/>
      </c>
    </row>
    <row r="319">
      <c r="P319" s="6">
        <f>IF($C319="","",IF(COUNTIF($C$2:$C319,$C319)=1,1,0))</f>
        <v/>
      </c>
    </row>
    <row r="320">
      <c r="P320" s="6">
        <f>IF($C320="","",IF(COUNTIF($C$2:$C320,$C320)=1,1,0))</f>
        <v/>
      </c>
    </row>
    <row r="321">
      <c r="P321" s="6">
        <f>IF($C321="","",IF(COUNTIF($C$2:$C321,$C321)=1,1,0))</f>
        <v/>
      </c>
    </row>
    <row r="322">
      <c r="P322" s="6">
        <f>IF($C322="","",IF(COUNTIF($C$2:$C322,$C322)=1,1,0))</f>
        <v/>
      </c>
    </row>
    <row r="323">
      <c r="P323" s="6">
        <f>IF($C323="","",IF(COUNTIF($C$2:$C323,$C323)=1,1,0))</f>
        <v/>
      </c>
    </row>
    <row r="324">
      <c r="P324" s="6">
        <f>IF($C324="","",IF(COUNTIF($C$2:$C324,$C324)=1,1,0))</f>
        <v/>
      </c>
    </row>
    <row r="325">
      <c r="P325" s="6">
        <f>IF($C325="","",IF(COUNTIF($C$2:$C325,$C325)=1,1,0))</f>
        <v/>
      </c>
    </row>
    <row r="326">
      <c r="P326" s="6">
        <f>IF($C326="","",IF(COUNTIF($C$2:$C326,$C326)=1,1,0))</f>
        <v/>
      </c>
    </row>
    <row r="327">
      <c r="P327" s="6">
        <f>IF($C327="","",IF(COUNTIF($C$2:$C327,$C327)=1,1,0))</f>
        <v/>
      </c>
    </row>
    <row r="328">
      <c r="P328" s="6">
        <f>IF($C328="","",IF(COUNTIF($C$2:$C328,$C328)=1,1,0))</f>
        <v/>
      </c>
    </row>
    <row r="329">
      <c r="P329" s="6">
        <f>IF($C329="","",IF(COUNTIF($C$2:$C329,$C329)=1,1,0))</f>
        <v/>
      </c>
    </row>
    <row r="330">
      <c r="P330" s="6">
        <f>IF($C330="","",IF(COUNTIF($C$2:$C330,$C330)=1,1,0))</f>
        <v/>
      </c>
    </row>
    <row r="331">
      <c r="P331" s="6">
        <f>IF($C331="","",IF(COUNTIF($C$2:$C331,$C331)=1,1,0))</f>
        <v/>
      </c>
    </row>
    <row r="332">
      <c r="P332" s="6">
        <f>IF($C332="","",IF(COUNTIF($C$2:$C332,$C332)=1,1,0))</f>
        <v/>
      </c>
    </row>
    <row r="333">
      <c r="P333" s="6">
        <f>IF($C333="","",IF(COUNTIF($C$2:$C333,$C333)=1,1,0))</f>
        <v/>
      </c>
    </row>
    <row r="334">
      <c r="P334" s="6">
        <f>IF($C334="","",IF(COUNTIF($C$2:$C334,$C334)=1,1,0))</f>
        <v/>
      </c>
    </row>
    <row r="335">
      <c r="P335" s="6">
        <f>IF($C335="","",IF(COUNTIF($C$2:$C335,$C335)=1,1,0))</f>
        <v/>
      </c>
    </row>
    <row r="336">
      <c r="P336" s="6">
        <f>IF($C336="","",IF(COUNTIF($C$2:$C336,$C336)=1,1,0))</f>
        <v/>
      </c>
    </row>
    <row r="337">
      <c r="P337" s="6">
        <f>IF($C337="","",IF(COUNTIF($C$2:$C337,$C337)=1,1,0))</f>
        <v/>
      </c>
    </row>
    <row r="338">
      <c r="P338" s="6">
        <f>IF($C338="","",IF(COUNTIF($C$2:$C338,$C338)=1,1,0))</f>
        <v/>
      </c>
    </row>
    <row r="339">
      <c r="P339" s="6">
        <f>IF($C339="","",IF(COUNTIF($C$2:$C339,$C339)=1,1,0))</f>
        <v/>
      </c>
    </row>
    <row r="340">
      <c r="P340" s="6">
        <f>IF($C340="","",IF(COUNTIF($C$2:$C340,$C340)=1,1,0))</f>
        <v/>
      </c>
    </row>
    <row r="341">
      <c r="P341" s="6">
        <f>IF($C341="","",IF(COUNTIF($C$2:$C341,$C341)=1,1,0))</f>
        <v/>
      </c>
    </row>
    <row r="342">
      <c r="P342" s="6">
        <f>IF($C342="","",IF(COUNTIF($C$2:$C342,$C342)=1,1,0))</f>
        <v/>
      </c>
    </row>
    <row r="343">
      <c r="P343" s="6">
        <f>IF($C343="","",IF(COUNTIF($C$2:$C343,$C343)=1,1,0))</f>
        <v/>
      </c>
    </row>
    <row r="344">
      <c r="P344" s="6">
        <f>IF($C344="","",IF(COUNTIF($C$2:$C344,$C344)=1,1,0))</f>
        <v/>
      </c>
    </row>
    <row r="345">
      <c r="P345" s="6">
        <f>IF($C345="","",IF(COUNTIF($C$2:$C345,$C345)=1,1,0))</f>
        <v/>
      </c>
    </row>
    <row r="346">
      <c r="P346" s="6">
        <f>IF($C346="","",IF(COUNTIF($C$2:$C346,$C346)=1,1,0))</f>
        <v/>
      </c>
    </row>
    <row r="347">
      <c r="P347" s="6">
        <f>IF($C347="","",IF(COUNTIF($C$2:$C347,$C347)=1,1,0))</f>
        <v/>
      </c>
    </row>
    <row r="348">
      <c r="P348" s="6">
        <f>IF($C348="","",IF(COUNTIF($C$2:$C348,$C348)=1,1,0))</f>
        <v/>
      </c>
    </row>
    <row r="349">
      <c r="P349" s="6">
        <f>IF($C349="","",IF(COUNTIF($C$2:$C349,$C349)=1,1,0))</f>
        <v/>
      </c>
    </row>
    <row r="350">
      <c r="P350" s="6">
        <f>IF($C350="","",IF(COUNTIF($C$2:$C350,$C350)=1,1,0))</f>
        <v/>
      </c>
    </row>
    <row r="351">
      <c r="P351" s="6">
        <f>IF($C351="","",IF(COUNTIF($C$2:$C351,$C351)=1,1,0))</f>
        <v/>
      </c>
    </row>
    <row r="352">
      <c r="P352" s="6">
        <f>IF($C352="","",IF(COUNTIF($C$2:$C352,$C352)=1,1,0))</f>
        <v/>
      </c>
    </row>
    <row r="353">
      <c r="P353" s="6">
        <f>IF($C353="","",IF(COUNTIF($C$2:$C353,$C353)=1,1,0))</f>
        <v/>
      </c>
    </row>
    <row r="354">
      <c r="P354" s="6">
        <f>IF($C354="","",IF(COUNTIF($C$2:$C354,$C354)=1,1,0))</f>
        <v/>
      </c>
    </row>
    <row r="355">
      <c r="P355" s="6">
        <f>IF($C355="","",IF(COUNTIF($C$2:$C355,$C355)=1,1,0))</f>
        <v/>
      </c>
    </row>
    <row r="356">
      <c r="P356" s="6">
        <f>IF($C356="","",IF(COUNTIF($C$2:$C356,$C356)=1,1,0))</f>
        <v/>
      </c>
    </row>
    <row r="357">
      <c r="P357" s="6">
        <f>IF($C357="","",IF(COUNTIF($C$2:$C357,$C357)=1,1,0))</f>
        <v/>
      </c>
    </row>
    <row r="358">
      <c r="P358" s="6">
        <f>IF($C358="","",IF(COUNTIF($C$2:$C358,$C358)=1,1,0))</f>
        <v/>
      </c>
    </row>
    <row r="359">
      <c r="P359" s="6">
        <f>IF($C359="","",IF(COUNTIF($C$2:$C359,$C359)=1,1,0))</f>
        <v/>
      </c>
    </row>
    <row r="360">
      <c r="P360" s="6">
        <f>IF($C360="","",IF(COUNTIF($C$2:$C360,$C360)=1,1,0))</f>
        <v/>
      </c>
    </row>
    <row r="361">
      <c r="P361" s="6">
        <f>IF($C361="","",IF(COUNTIF($C$2:$C361,$C361)=1,1,0))</f>
        <v/>
      </c>
    </row>
    <row r="362">
      <c r="P362" s="6">
        <f>IF($C362="","",IF(COUNTIF($C$2:$C362,$C362)=1,1,0))</f>
        <v/>
      </c>
    </row>
    <row r="363">
      <c r="P363" s="6">
        <f>IF($C363="","",IF(COUNTIF($C$2:$C363,$C363)=1,1,0))</f>
        <v/>
      </c>
    </row>
    <row r="364">
      <c r="P364" s="6">
        <f>IF($C364="","",IF(COUNTIF($C$2:$C364,$C364)=1,1,0))</f>
        <v/>
      </c>
    </row>
    <row r="365">
      <c r="P365" s="6">
        <f>IF($C365="","",IF(COUNTIF($C$2:$C365,$C365)=1,1,0))</f>
        <v/>
      </c>
    </row>
    <row r="366">
      <c r="P366" s="6">
        <f>IF($C366="","",IF(COUNTIF($C$2:$C366,$C366)=1,1,0))</f>
        <v/>
      </c>
    </row>
    <row r="367">
      <c r="P367" s="6">
        <f>IF($C367="","",IF(COUNTIF($C$2:$C367,$C367)=1,1,0))</f>
        <v/>
      </c>
    </row>
    <row r="368">
      <c r="P368" s="6">
        <f>IF($C368="","",IF(COUNTIF($C$2:$C368,$C368)=1,1,0))</f>
        <v/>
      </c>
    </row>
    <row r="369">
      <c r="P369" s="6">
        <f>IF($C369="","",IF(COUNTIF($C$2:$C369,$C369)=1,1,0))</f>
        <v/>
      </c>
    </row>
    <row r="370">
      <c r="P370" s="6">
        <f>IF($C370="","",IF(COUNTIF($C$2:$C370,$C370)=1,1,0))</f>
        <v/>
      </c>
    </row>
    <row r="371">
      <c r="P371" s="6">
        <f>IF($C371="","",IF(COUNTIF($C$2:$C371,$C371)=1,1,0))</f>
        <v/>
      </c>
    </row>
    <row r="372">
      <c r="P372" s="6">
        <f>IF($C372="","",IF(COUNTIF($C$2:$C372,$C372)=1,1,0))</f>
        <v/>
      </c>
    </row>
    <row r="373">
      <c r="P373" s="6">
        <f>IF($C373="","",IF(COUNTIF($C$2:$C373,$C373)=1,1,0))</f>
        <v/>
      </c>
    </row>
    <row r="374">
      <c r="P374" s="6">
        <f>IF($C374="","",IF(COUNTIF($C$2:$C374,$C374)=1,1,0))</f>
        <v/>
      </c>
    </row>
    <row r="375">
      <c r="P375" s="6">
        <f>IF($C375="","",IF(COUNTIF($C$2:$C375,$C375)=1,1,0))</f>
        <v/>
      </c>
    </row>
    <row r="376">
      <c r="P376" s="6">
        <f>IF($C376="","",IF(COUNTIF($C$2:$C376,$C376)=1,1,0))</f>
        <v/>
      </c>
    </row>
    <row r="377">
      <c r="P377" s="6">
        <f>IF($C377="","",IF(COUNTIF($C$2:$C377,$C377)=1,1,0))</f>
        <v/>
      </c>
    </row>
    <row r="378">
      <c r="P378" s="6">
        <f>IF($C378="","",IF(COUNTIF($C$2:$C378,$C378)=1,1,0))</f>
        <v/>
      </c>
    </row>
    <row r="379">
      <c r="P379" s="6">
        <f>IF($C379="","",IF(COUNTIF($C$2:$C379,$C379)=1,1,0))</f>
        <v/>
      </c>
    </row>
    <row r="380">
      <c r="P380" s="6">
        <f>IF($C380="","",IF(COUNTIF($C$2:$C380,$C380)=1,1,0))</f>
        <v/>
      </c>
    </row>
    <row r="381">
      <c r="P381" s="6">
        <f>IF($C381="","",IF(COUNTIF($C$2:$C381,$C381)=1,1,0))</f>
        <v/>
      </c>
    </row>
    <row r="382">
      <c r="P382" s="6">
        <f>IF($C382="","",IF(COUNTIF($C$2:$C382,$C382)=1,1,0))</f>
        <v/>
      </c>
    </row>
    <row r="383">
      <c r="P383" s="6">
        <f>IF($C383="","",IF(COUNTIF($C$2:$C383,$C383)=1,1,0))</f>
        <v/>
      </c>
    </row>
    <row r="384">
      <c r="P384" s="6">
        <f>IF($C384="","",IF(COUNTIF($C$2:$C384,$C384)=1,1,0))</f>
        <v/>
      </c>
    </row>
    <row r="385">
      <c r="P385" s="6">
        <f>IF($C385="","",IF(COUNTIF($C$2:$C385,$C385)=1,1,0))</f>
        <v/>
      </c>
    </row>
    <row r="386">
      <c r="P386" s="6">
        <f>IF($C386="","",IF(COUNTIF($C$2:$C386,$C386)=1,1,0))</f>
        <v/>
      </c>
    </row>
    <row r="387">
      <c r="P387" s="6">
        <f>IF($C387="","",IF(COUNTIF($C$2:$C387,$C387)=1,1,0))</f>
        <v/>
      </c>
    </row>
    <row r="388">
      <c r="P388" s="6">
        <f>IF($C388="","",IF(COUNTIF($C$2:$C388,$C388)=1,1,0))</f>
        <v/>
      </c>
    </row>
    <row r="389">
      <c r="P389" s="6">
        <f>IF($C389="","",IF(COUNTIF($C$2:$C389,$C389)=1,1,0))</f>
        <v/>
      </c>
    </row>
    <row r="390">
      <c r="P390" s="6">
        <f>IF($C390="","",IF(COUNTIF($C$2:$C390,$C390)=1,1,0))</f>
        <v/>
      </c>
    </row>
    <row r="391">
      <c r="P391" s="6">
        <f>IF($C391="","",IF(COUNTIF($C$2:$C391,$C391)=1,1,0))</f>
        <v/>
      </c>
    </row>
    <row r="392">
      <c r="P392" s="6">
        <f>IF($C392="","",IF(COUNTIF($C$2:$C392,$C392)=1,1,0))</f>
        <v/>
      </c>
    </row>
    <row r="393">
      <c r="P393" s="6">
        <f>IF($C393="","",IF(COUNTIF($C$2:$C393,$C393)=1,1,0))</f>
        <v/>
      </c>
    </row>
    <row r="394">
      <c r="P394" s="6">
        <f>IF($C394="","",IF(COUNTIF($C$2:$C394,$C394)=1,1,0))</f>
        <v/>
      </c>
    </row>
    <row r="395">
      <c r="P395" s="6">
        <f>IF($C395="","",IF(COUNTIF($C$2:$C395,$C395)=1,1,0))</f>
        <v/>
      </c>
    </row>
    <row r="396">
      <c r="P396" s="6">
        <f>IF($C396="","",IF(COUNTIF($C$2:$C396,$C396)=1,1,0))</f>
        <v/>
      </c>
    </row>
    <row r="397">
      <c r="P397" s="6">
        <f>IF($C397="","",IF(COUNTIF($C$2:$C397,$C397)=1,1,0))</f>
        <v/>
      </c>
    </row>
    <row r="398">
      <c r="P398" s="6">
        <f>IF($C398="","",IF(COUNTIF($C$2:$C398,$C398)=1,1,0))</f>
        <v/>
      </c>
    </row>
    <row r="399">
      <c r="P399" s="6">
        <f>IF($C399="","",IF(COUNTIF($C$2:$C399,$C399)=1,1,0))</f>
        <v/>
      </c>
    </row>
    <row r="400">
      <c r="P400" s="6">
        <f>IF($C400="","",IF(COUNTIF($C$2:$C400,$C400)=1,1,0))</f>
        <v/>
      </c>
    </row>
    <row r="401">
      <c r="P401" s="6">
        <f>IF($C401="","",IF(COUNTIF($C$2:$C401,$C401)=1,1,0))</f>
        <v/>
      </c>
    </row>
    <row r="402">
      <c r="P402" s="6">
        <f>IF($C402="","",IF(COUNTIF($C$2:$C402,$C402)=1,1,0))</f>
        <v/>
      </c>
    </row>
    <row r="403">
      <c r="P403" s="6">
        <f>IF($C403="","",IF(COUNTIF($C$2:$C403,$C403)=1,1,0))</f>
        <v/>
      </c>
    </row>
    <row r="404">
      <c r="P404" s="6">
        <f>IF($C404="","",IF(COUNTIF($C$2:$C404,$C404)=1,1,0))</f>
        <v/>
      </c>
    </row>
    <row r="405">
      <c r="P405" s="6">
        <f>IF($C405="","",IF(COUNTIF($C$2:$C405,$C405)=1,1,0))</f>
        <v/>
      </c>
    </row>
    <row r="406">
      <c r="P406" s="6">
        <f>IF($C406="","",IF(COUNTIF($C$2:$C406,$C406)=1,1,0))</f>
        <v/>
      </c>
    </row>
    <row r="407">
      <c r="P407" s="6">
        <f>IF($C407="","",IF(COUNTIF($C$2:$C407,$C407)=1,1,0))</f>
        <v/>
      </c>
    </row>
    <row r="408">
      <c r="P408" s="6">
        <f>IF($C408="","",IF(COUNTIF($C$2:$C408,$C408)=1,1,0))</f>
        <v/>
      </c>
    </row>
    <row r="409">
      <c r="P409" s="6">
        <f>IF($C409="","",IF(COUNTIF($C$2:$C409,$C409)=1,1,0))</f>
        <v/>
      </c>
    </row>
    <row r="410">
      <c r="P410" s="6">
        <f>IF($C410="","",IF(COUNTIF($C$2:$C410,$C410)=1,1,0))</f>
        <v/>
      </c>
    </row>
    <row r="411">
      <c r="P411" s="6">
        <f>IF($C411="","",IF(COUNTIF($C$2:$C411,$C411)=1,1,0))</f>
        <v/>
      </c>
    </row>
    <row r="412">
      <c r="P412" s="6">
        <f>IF($C412="","",IF(COUNTIF($C$2:$C412,$C412)=1,1,0))</f>
        <v/>
      </c>
    </row>
    <row r="413">
      <c r="P413" s="6">
        <f>IF($C413="","",IF(COUNTIF($C$2:$C413,$C413)=1,1,0))</f>
        <v/>
      </c>
    </row>
    <row r="414">
      <c r="P414" s="6">
        <f>IF($C414="","",IF(COUNTIF($C$2:$C414,$C414)=1,1,0))</f>
        <v/>
      </c>
    </row>
    <row r="415">
      <c r="P415" s="6">
        <f>IF($C415="","",IF(COUNTIF($C$2:$C415,$C415)=1,1,0))</f>
        <v/>
      </c>
    </row>
    <row r="416">
      <c r="P416" s="6">
        <f>IF($C416="","",IF(COUNTIF($C$2:$C416,$C416)=1,1,0))</f>
        <v/>
      </c>
    </row>
    <row r="417">
      <c r="P417" s="6">
        <f>IF($C417="","",IF(COUNTIF($C$2:$C417,$C417)=1,1,0))</f>
        <v/>
      </c>
    </row>
    <row r="418">
      <c r="P418" s="6">
        <f>IF($C418="","",IF(COUNTIF($C$2:$C418,$C418)=1,1,0))</f>
        <v/>
      </c>
    </row>
    <row r="419">
      <c r="P419" s="6">
        <f>IF($C419="","",IF(COUNTIF($C$2:$C419,$C419)=1,1,0))</f>
        <v/>
      </c>
    </row>
    <row r="420">
      <c r="P420" s="6">
        <f>IF($C420="","",IF(COUNTIF($C$2:$C420,$C420)=1,1,0))</f>
        <v/>
      </c>
    </row>
    <row r="421">
      <c r="P421" s="6">
        <f>IF($C421="","",IF(COUNTIF($C$2:$C421,$C421)=1,1,0))</f>
        <v/>
      </c>
    </row>
    <row r="422">
      <c r="P422" s="6">
        <f>IF($C422="","",IF(COUNTIF($C$2:$C422,$C422)=1,1,0))</f>
        <v/>
      </c>
    </row>
    <row r="423">
      <c r="P423" s="6">
        <f>IF($C423="","",IF(COUNTIF($C$2:$C423,$C423)=1,1,0))</f>
        <v/>
      </c>
    </row>
    <row r="424">
      <c r="P424" s="6">
        <f>IF($C424="","",IF(COUNTIF($C$2:$C424,$C424)=1,1,0))</f>
        <v/>
      </c>
    </row>
    <row r="425">
      <c r="P425" s="6">
        <f>IF($C425="","",IF(COUNTIF($C$2:$C425,$C425)=1,1,0))</f>
        <v/>
      </c>
    </row>
    <row r="426">
      <c r="P426" s="6">
        <f>IF($C426="","",IF(COUNTIF($C$2:$C426,$C426)=1,1,0))</f>
        <v/>
      </c>
    </row>
    <row r="427">
      <c r="P427" s="6">
        <f>IF($C427="","",IF(COUNTIF($C$2:$C427,$C427)=1,1,0))</f>
        <v/>
      </c>
    </row>
    <row r="428">
      <c r="P428" s="6">
        <f>IF($C428="","",IF(COUNTIF($C$2:$C428,$C428)=1,1,0))</f>
        <v/>
      </c>
    </row>
    <row r="429">
      <c r="P429" s="6">
        <f>IF($C429="","",IF(COUNTIF($C$2:$C429,$C429)=1,1,0))</f>
        <v/>
      </c>
    </row>
    <row r="430">
      <c r="P430" s="6">
        <f>IF($C430="","",IF(COUNTIF($C$2:$C430,$C430)=1,1,0))</f>
        <v/>
      </c>
    </row>
    <row r="431">
      <c r="P431" s="6">
        <f>IF($C431="","",IF(COUNTIF($C$2:$C431,$C431)=1,1,0))</f>
        <v/>
      </c>
    </row>
    <row r="432">
      <c r="P432" s="6">
        <f>IF($C432="","",IF(COUNTIF($C$2:$C432,$C432)=1,1,0))</f>
        <v/>
      </c>
    </row>
    <row r="433">
      <c r="P433" s="6">
        <f>IF($C433="","",IF(COUNTIF($C$2:$C433,$C433)=1,1,0))</f>
        <v/>
      </c>
    </row>
    <row r="434">
      <c r="P434" s="6">
        <f>IF($C434="","",IF(COUNTIF($C$2:$C434,$C434)=1,1,0))</f>
        <v/>
      </c>
    </row>
    <row r="435">
      <c r="P435" s="6">
        <f>IF($C435="","",IF(COUNTIF($C$2:$C435,$C435)=1,1,0))</f>
        <v/>
      </c>
    </row>
    <row r="436">
      <c r="P436" s="6">
        <f>IF($C436="","",IF(COUNTIF($C$2:$C436,$C436)=1,1,0))</f>
        <v/>
      </c>
    </row>
    <row r="437">
      <c r="P437" s="6">
        <f>IF($C437="","",IF(COUNTIF($C$2:$C437,$C437)=1,1,0))</f>
        <v/>
      </c>
    </row>
    <row r="438">
      <c r="P438" s="6">
        <f>IF($C438="","",IF(COUNTIF($C$2:$C438,$C438)=1,1,0))</f>
        <v/>
      </c>
    </row>
    <row r="439">
      <c r="P439" s="6">
        <f>IF($C439="","",IF(COUNTIF($C$2:$C439,$C439)=1,1,0))</f>
        <v/>
      </c>
    </row>
    <row r="440">
      <c r="P440" s="6">
        <f>IF($C440="","",IF(COUNTIF($C$2:$C440,$C440)=1,1,0))</f>
        <v/>
      </c>
    </row>
    <row r="441">
      <c r="P441" s="6">
        <f>IF($C441="","",IF(COUNTIF($C$2:$C441,$C441)=1,1,0))</f>
        <v/>
      </c>
    </row>
    <row r="442">
      <c r="P442" s="6">
        <f>IF($C442="","",IF(COUNTIF($C$2:$C442,$C442)=1,1,0))</f>
        <v/>
      </c>
    </row>
    <row r="443">
      <c r="P443" s="6">
        <f>IF($C443="","",IF(COUNTIF($C$2:$C443,$C443)=1,1,0))</f>
        <v/>
      </c>
    </row>
    <row r="444">
      <c r="P444" s="6">
        <f>IF($C444="","",IF(COUNTIF($C$2:$C444,$C444)=1,1,0))</f>
        <v/>
      </c>
    </row>
    <row r="445">
      <c r="P445" s="6">
        <f>IF($C445="","",IF(COUNTIF($C$2:$C445,$C445)=1,1,0))</f>
        <v/>
      </c>
    </row>
    <row r="446">
      <c r="P446" s="6">
        <f>IF($C446="","",IF(COUNTIF($C$2:$C446,$C446)=1,1,0))</f>
        <v/>
      </c>
    </row>
    <row r="447">
      <c r="P447" s="6">
        <f>IF($C447="","",IF(COUNTIF($C$2:$C447,$C447)=1,1,0))</f>
        <v/>
      </c>
    </row>
    <row r="448">
      <c r="P448" s="6">
        <f>IF($C448="","",IF(COUNTIF($C$2:$C448,$C448)=1,1,0))</f>
        <v/>
      </c>
    </row>
    <row r="449">
      <c r="P449" s="6">
        <f>IF($C449="","",IF(COUNTIF($C$2:$C449,$C449)=1,1,0))</f>
        <v/>
      </c>
    </row>
    <row r="450">
      <c r="P450" s="6">
        <f>IF($C450="","",IF(COUNTIF($C$2:$C450,$C450)=1,1,0))</f>
        <v/>
      </c>
    </row>
    <row r="451">
      <c r="P451" s="6">
        <f>IF($C451="","",IF(COUNTIF($C$2:$C451,$C451)=1,1,0))</f>
        <v/>
      </c>
    </row>
    <row r="452">
      <c r="P452" s="6">
        <f>IF($C452="","",IF(COUNTIF($C$2:$C452,$C452)=1,1,0))</f>
        <v/>
      </c>
    </row>
    <row r="453">
      <c r="P453" s="6">
        <f>IF($C453="","",IF(COUNTIF($C$2:$C453,$C453)=1,1,0))</f>
        <v/>
      </c>
    </row>
    <row r="454">
      <c r="P454" s="6">
        <f>IF($C454="","",IF(COUNTIF($C$2:$C454,$C454)=1,1,0))</f>
        <v/>
      </c>
    </row>
    <row r="455">
      <c r="P455" s="6">
        <f>IF($C455="","",IF(COUNTIF($C$2:$C455,$C455)=1,1,0))</f>
        <v/>
      </c>
    </row>
    <row r="456">
      <c r="P456" s="6">
        <f>IF($C456="","",IF(COUNTIF($C$2:$C456,$C456)=1,1,0))</f>
        <v/>
      </c>
    </row>
    <row r="457">
      <c r="P457" s="6">
        <f>IF($C457="","",IF(COUNTIF($C$2:$C457,$C457)=1,1,0))</f>
        <v/>
      </c>
    </row>
    <row r="458">
      <c r="P458" s="6">
        <f>IF($C458="","",IF(COUNTIF($C$2:$C458,$C458)=1,1,0))</f>
        <v/>
      </c>
    </row>
    <row r="459">
      <c r="P459" s="6">
        <f>IF($C459="","",IF(COUNTIF($C$2:$C459,$C459)=1,1,0))</f>
        <v/>
      </c>
    </row>
    <row r="460">
      <c r="P460" s="6">
        <f>IF($C460="","",IF(COUNTIF($C$2:$C460,$C460)=1,1,0))</f>
        <v/>
      </c>
    </row>
    <row r="461">
      <c r="P461" s="6">
        <f>IF($C461="","",IF(COUNTIF($C$2:$C461,$C461)=1,1,0))</f>
        <v/>
      </c>
    </row>
    <row r="462">
      <c r="P462" s="6">
        <f>IF($C462="","",IF(COUNTIF($C$2:$C462,$C462)=1,1,0))</f>
        <v/>
      </c>
    </row>
    <row r="463">
      <c r="P463" s="6">
        <f>IF($C463="","",IF(COUNTIF($C$2:$C463,$C463)=1,1,0))</f>
        <v/>
      </c>
    </row>
    <row r="464">
      <c r="P464" s="6">
        <f>IF($C464="","",IF(COUNTIF($C$2:$C464,$C464)=1,1,0))</f>
        <v/>
      </c>
    </row>
    <row r="465">
      <c r="P465" s="6">
        <f>IF($C465="","",IF(COUNTIF($C$2:$C465,$C465)=1,1,0))</f>
        <v/>
      </c>
    </row>
    <row r="466">
      <c r="P466" s="6">
        <f>IF($C466="","",IF(COUNTIF($C$2:$C466,$C466)=1,1,0))</f>
        <v/>
      </c>
    </row>
    <row r="467">
      <c r="P467" s="6">
        <f>IF($C467="","",IF(COUNTIF($C$2:$C467,$C467)=1,1,0))</f>
        <v/>
      </c>
    </row>
    <row r="468">
      <c r="P468" s="6">
        <f>IF($C468="","",IF(COUNTIF($C$2:$C468,$C468)=1,1,0))</f>
        <v/>
      </c>
    </row>
    <row r="469">
      <c r="P469" s="6">
        <f>IF($C469="","",IF(COUNTIF($C$2:$C469,$C469)=1,1,0))</f>
        <v/>
      </c>
    </row>
    <row r="470">
      <c r="P470" s="6">
        <f>IF($C470="","",IF(COUNTIF($C$2:$C470,$C470)=1,1,0))</f>
        <v/>
      </c>
    </row>
    <row r="471">
      <c r="P471" s="6">
        <f>IF($C471="","",IF(COUNTIF($C$2:$C471,$C471)=1,1,0))</f>
        <v/>
      </c>
    </row>
    <row r="472">
      <c r="P472" s="6">
        <f>IF($C472="","",IF(COUNTIF($C$2:$C472,$C472)=1,1,0))</f>
        <v/>
      </c>
    </row>
    <row r="473">
      <c r="P473" s="6">
        <f>IF($C473="","",IF(COUNTIF($C$2:$C473,$C473)=1,1,0))</f>
        <v/>
      </c>
    </row>
    <row r="474">
      <c r="P474" s="6">
        <f>IF($C474="","",IF(COUNTIF($C$2:$C474,$C474)=1,1,0))</f>
        <v/>
      </c>
    </row>
    <row r="475">
      <c r="P475" s="6">
        <f>IF($C475="","",IF(COUNTIF($C$2:$C475,$C475)=1,1,0))</f>
        <v/>
      </c>
    </row>
    <row r="476">
      <c r="P476" s="6">
        <f>IF($C476="","",IF(COUNTIF($C$2:$C476,$C476)=1,1,0))</f>
        <v/>
      </c>
    </row>
    <row r="477">
      <c r="P477" s="6">
        <f>IF($C477="","",IF(COUNTIF($C$2:$C477,$C477)=1,1,0))</f>
        <v/>
      </c>
    </row>
    <row r="478">
      <c r="P478" s="6">
        <f>IF($C478="","",IF(COUNTIF($C$2:$C478,$C478)=1,1,0))</f>
        <v/>
      </c>
    </row>
    <row r="479">
      <c r="P479" s="6">
        <f>IF($C479="","",IF(COUNTIF($C$2:$C479,$C479)=1,1,0))</f>
        <v/>
      </c>
    </row>
    <row r="480">
      <c r="P480" s="6">
        <f>IF($C480="","",IF(COUNTIF($C$2:$C480,$C480)=1,1,0))</f>
        <v/>
      </c>
    </row>
    <row r="481">
      <c r="P481" s="6">
        <f>IF($C481="","",IF(COUNTIF($C$2:$C481,$C481)=1,1,0))</f>
        <v/>
      </c>
    </row>
    <row r="482">
      <c r="P482" s="6">
        <f>IF($C482="","",IF(COUNTIF($C$2:$C482,$C482)=1,1,0))</f>
        <v/>
      </c>
    </row>
    <row r="483">
      <c r="P483" s="6">
        <f>IF($C483="","",IF(COUNTIF($C$2:$C483,$C483)=1,1,0))</f>
        <v/>
      </c>
    </row>
    <row r="484">
      <c r="P484" s="6">
        <f>IF($C484="","",IF(COUNTIF($C$2:$C484,$C484)=1,1,0))</f>
        <v/>
      </c>
    </row>
    <row r="485">
      <c r="P485" s="6">
        <f>IF($C485="","",IF(COUNTIF($C$2:$C485,$C485)=1,1,0))</f>
        <v/>
      </c>
    </row>
    <row r="486">
      <c r="P486" s="6">
        <f>IF($C486="","",IF(COUNTIF($C$2:$C486,$C486)=1,1,0))</f>
        <v/>
      </c>
    </row>
    <row r="487">
      <c r="P487" s="6">
        <f>IF($C487="","",IF(COUNTIF($C$2:$C487,$C487)=1,1,0))</f>
        <v/>
      </c>
    </row>
    <row r="488">
      <c r="P488" s="6">
        <f>IF($C488="","",IF(COUNTIF($C$2:$C488,$C488)=1,1,0))</f>
        <v/>
      </c>
    </row>
    <row r="489">
      <c r="P489" s="6">
        <f>IF($C489="","",IF(COUNTIF($C$2:$C489,$C489)=1,1,0))</f>
        <v/>
      </c>
    </row>
    <row r="490">
      <c r="P490" s="6">
        <f>IF($C490="","",IF(COUNTIF($C$2:$C490,$C490)=1,1,0))</f>
        <v/>
      </c>
    </row>
    <row r="491">
      <c r="P491" s="6">
        <f>IF($C491="","",IF(COUNTIF($C$2:$C491,$C491)=1,1,0))</f>
        <v/>
      </c>
    </row>
    <row r="492">
      <c r="P492" s="6">
        <f>IF($C492="","",IF(COUNTIF($C$2:$C492,$C492)=1,1,0))</f>
        <v/>
      </c>
    </row>
    <row r="493">
      <c r="P493" s="6">
        <f>IF($C493="","",IF(COUNTIF($C$2:$C493,$C493)=1,1,0))</f>
        <v/>
      </c>
    </row>
    <row r="494">
      <c r="P494" s="6">
        <f>IF($C494="","",IF(COUNTIF($C$2:$C494,$C494)=1,1,0))</f>
        <v/>
      </c>
    </row>
    <row r="495">
      <c r="P495" s="6">
        <f>IF($C495="","",IF(COUNTIF($C$2:$C495,$C495)=1,1,0))</f>
        <v/>
      </c>
    </row>
    <row r="496">
      <c r="P496" s="6">
        <f>IF($C496="","",IF(COUNTIF($C$2:$C496,$C496)=1,1,0))</f>
        <v/>
      </c>
    </row>
    <row r="497">
      <c r="P497" s="6">
        <f>IF($C497="","",IF(COUNTIF($C$2:$C497,$C497)=1,1,0))</f>
        <v/>
      </c>
    </row>
    <row r="498">
      <c r="P498" s="6">
        <f>IF($C498="","",IF(COUNTIF($C$2:$C498,$C498)=1,1,0))</f>
        <v/>
      </c>
    </row>
    <row r="499">
      <c r="P499" s="6">
        <f>IF($C499="","",IF(COUNTIF($C$2:$C499,$C499)=1,1,0))</f>
        <v/>
      </c>
    </row>
    <row r="500">
      <c r="P500" s="6">
        <f>IF($C500="","",IF(COUNTIF($C$2:$C500,$C500)=1,1,0))</f>
        <v/>
      </c>
    </row>
    <row r="501">
      <c r="P501" s="6">
        <f>IF($C501="","",IF(COUNTIF($C$2:$C501,$C501)=1,1,0))</f>
        <v/>
      </c>
    </row>
    <row r="502">
      <c r="P502" s="6">
        <f>IF($C502="","",IF(COUNTIF($C$2:$C502,$C502)=1,1,0))</f>
        <v/>
      </c>
    </row>
    <row r="503">
      <c r="P503" s="6">
        <f>IF($C503="","",IF(COUNTIF($C$2:$C503,$C503)=1,1,0))</f>
        <v/>
      </c>
    </row>
    <row r="504">
      <c r="P504" s="6">
        <f>IF($C504="","",IF(COUNTIF($C$2:$C504,$C504)=1,1,0))</f>
        <v/>
      </c>
    </row>
    <row r="505">
      <c r="P505" s="6">
        <f>IF($C505="","",IF(COUNTIF($C$2:$C505,$C505)=1,1,0))</f>
        <v/>
      </c>
    </row>
    <row r="506">
      <c r="P506" s="6">
        <f>IF($C506="","",IF(COUNTIF($C$2:$C506,$C506)=1,1,0))</f>
        <v/>
      </c>
    </row>
    <row r="507">
      <c r="P507" s="6">
        <f>IF($C507="","",IF(COUNTIF($C$2:$C507,$C507)=1,1,0))</f>
        <v/>
      </c>
    </row>
    <row r="508">
      <c r="P508" s="6">
        <f>IF($C508="","",IF(COUNTIF($C$2:$C508,$C508)=1,1,0))</f>
        <v/>
      </c>
    </row>
    <row r="509">
      <c r="P509" s="6">
        <f>IF($C509="","",IF(COUNTIF($C$2:$C509,$C509)=1,1,0))</f>
        <v/>
      </c>
    </row>
    <row r="510">
      <c r="P510" s="6">
        <f>IF($C510="","",IF(COUNTIF($C$2:$C510,$C510)=1,1,0))</f>
        <v/>
      </c>
    </row>
    <row r="511">
      <c r="P511" s="6">
        <f>IF($C511="","",IF(COUNTIF($C$2:$C511,$C511)=1,1,0))</f>
        <v/>
      </c>
    </row>
    <row r="512">
      <c r="P512" s="6">
        <f>IF($C512="","",IF(COUNTIF($C$2:$C512,$C512)=1,1,0))</f>
        <v/>
      </c>
    </row>
    <row r="513">
      <c r="P513" s="6">
        <f>IF($C513="","",IF(COUNTIF($C$2:$C513,$C513)=1,1,0))</f>
        <v/>
      </c>
    </row>
    <row r="514">
      <c r="P514" s="6">
        <f>IF($C514="","",IF(COUNTIF($C$2:$C514,$C514)=1,1,0))</f>
        <v/>
      </c>
    </row>
    <row r="515">
      <c r="P515" s="6">
        <f>IF($C515="","",IF(COUNTIF($C$2:$C515,$C515)=1,1,0))</f>
        <v/>
      </c>
    </row>
    <row r="516">
      <c r="P516" s="6">
        <f>IF($C516="","",IF(COUNTIF($C$2:$C516,$C516)=1,1,0))</f>
        <v/>
      </c>
    </row>
    <row r="517">
      <c r="P517" s="6">
        <f>IF($C517="","",IF(COUNTIF($C$2:$C517,$C517)=1,1,0))</f>
        <v/>
      </c>
    </row>
    <row r="518">
      <c r="P518" s="6">
        <f>IF($C518="","",IF(COUNTIF($C$2:$C518,$C518)=1,1,0))</f>
        <v/>
      </c>
    </row>
    <row r="519">
      <c r="P519" s="6">
        <f>IF($C519="","",IF(COUNTIF($C$2:$C519,$C519)=1,1,0))</f>
        <v/>
      </c>
    </row>
    <row r="520">
      <c r="P520" s="6">
        <f>IF($C520="","",IF(COUNTIF($C$2:$C520,$C520)=1,1,0))</f>
        <v/>
      </c>
    </row>
    <row r="521">
      <c r="P521" s="6">
        <f>IF($C521="","",IF(COUNTIF($C$2:$C521,$C521)=1,1,0))</f>
        <v/>
      </c>
    </row>
    <row r="522">
      <c r="P522" s="6">
        <f>IF($C522="","",IF(COUNTIF($C$2:$C522,$C522)=1,1,0))</f>
        <v/>
      </c>
    </row>
    <row r="523">
      <c r="P523" s="6">
        <f>IF($C523="","",IF(COUNTIF($C$2:$C523,$C523)=1,1,0))</f>
        <v/>
      </c>
    </row>
    <row r="524">
      <c r="P524" s="6">
        <f>IF($C524="","",IF(COUNTIF($C$2:$C524,$C524)=1,1,0))</f>
        <v/>
      </c>
    </row>
    <row r="525">
      <c r="P525" s="6">
        <f>IF($C525="","",IF(COUNTIF($C$2:$C525,$C525)=1,1,0))</f>
        <v/>
      </c>
    </row>
    <row r="526">
      <c r="P526" s="6">
        <f>IF($C526="","",IF(COUNTIF($C$2:$C526,$C526)=1,1,0))</f>
        <v/>
      </c>
    </row>
    <row r="527">
      <c r="P527" s="6">
        <f>IF($C527="","",IF(COUNTIF($C$2:$C527,$C527)=1,1,0))</f>
        <v/>
      </c>
    </row>
    <row r="528">
      <c r="P528" s="6">
        <f>IF($C528="","",IF(COUNTIF($C$2:$C528,$C528)=1,1,0))</f>
        <v/>
      </c>
    </row>
    <row r="529">
      <c r="P529" s="6">
        <f>IF($C529="","",IF(COUNTIF($C$2:$C529,$C529)=1,1,0))</f>
        <v/>
      </c>
    </row>
    <row r="530">
      <c r="P530" s="6">
        <f>IF($C530="","",IF(COUNTIF($C$2:$C530,$C530)=1,1,0))</f>
        <v/>
      </c>
    </row>
    <row r="531">
      <c r="P531" s="6">
        <f>IF($C531="","",IF(COUNTIF($C$2:$C531,$C531)=1,1,0))</f>
        <v/>
      </c>
    </row>
    <row r="532">
      <c r="P532" s="6">
        <f>IF($C532="","",IF(COUNTIF($C$2:$C532,$C532)=1,1,0))</f>
        <v/>
      </c>
    </row>
    <row r="533">
      <c r="P533" s="6">
        <f>IF($C533="","",IF(COUNTIF($C$2:$C533,$C533)=1,1,0))</f>
        <v/>
      </c>
    </row>
    <row r="534">
      <c r="P534" s="6">
        <f>IF($C534="","",IF(COUNTIF($C$2:$C534,$C534)=1,1,0))</f>
        <v/>
      </c>
    </row>
    <row r="535">
      <c r="P535" s="6">
        <f>IF($C535="","",IF(COUNTIF($C$2:$C535,$C535)=1,1,0))</f>
        <v/>
      </c>
    </row>
    <row r="536">
      <c r="P536" s="6">
        <f>IF($C536="","",IF(COUNTIF($C$2:$C536,$C536)=1,1,0))</f>
        <v/>
      </c>
    </row>
    <row r="537">
      <c r="P537" s="6">
        <f>IF($C537="","",IF(COUNTIF($C$2:$C537,$C537)=1,1,0))</f>
        <v/>
      </c>
    </row>
    <row r="538">
      <c r="P538" s="6">
        <f>IF($C538="","",IF(COUNTIF($C$2:$C538,$C538)=1,1,0))</f>
        <v/>
      </c>
    </row>
    <row r="539">
      <c r="P539" s="6">
        <f>IF($C539="","",IF(COUNTIF($C$2:$C539,$C539)=1,1,0))</f>
        <v/>
      </c>
    </row>
    <row r="540">
      <c r="P540" s="6">
        <f>IF($C540="","",IF(COUNTIF($C$2:$C540,$C540)=1,1,0))</f>
        <v/>
      </c>
    </row>
    <row r="541">
      <c r="P541" s="6">
        <f>IF($C541="","",IF(COUNTIF($C$2:$C541,$C541)=1,1,0))</f>
        <v/>
      </c>
    </row>
    <row r="542">
      <c r="P542" s="6">
        <f>IF($C542="","",IF(COUNTIF($C$2:$C542,$C542)=1,1,0))</f>
        <v/>
      </c>
    </row>
    <row r="543">
      <c r="P543" s="6">
        <f>IF($C543="","",IF(COUNTIF($C$2:$C543,$C543)=1,1,0))</f>
        <v/>
      </c>
    </row>
    <row r="544">
      <c r="P544" s="6">
        <f>IF($C544="","",IF(COUNTIF($C$2:$C544,$C544)=1,1,0))</f>
        <v/>
      </c>
    </row>
    <row r="545">
      <c r="P545" s="6">
        <f>IF($C545="","",IF(COUNTIF($C$2:$C545,$C545)=1,1,0))</f>
        <v/>
      </c>
    </row>
    <row r="546">
      <c r="P546" s="6">
        <f>IF($C546="","",IF(COUNTIF($C$2:$C546,$C546)=1,1,0))</f>
        <v/>
      </c>
    </row>
    <row r="547">
      <c r="P547" s="6">
        <f>IF($C547="","",IF(COUNTIF($C$2:$C547,$C547)=1,1,0))</f>
        <v/>
      </c>
    </row>
    <row r="548">
      <c r="P548" s="6">
        <f>IF($C548="","",IF(COUNTIF($C$2:$C548,$C548)=1,1,0))</f>
        <v/>
      </c>
    </row>
    <row r="549">
      <c r="P549" s="6">
        <f>IF($C549="","",IF(COUNTIF($C$2:$C549,$C549)=1,1,0))</f>
        <v/>
      </c>
    </row>
    <row r="550">
      <c r="P550" s="6">
        <f>IF($C550="","",IF(COUNTIF($C$2:$C550,$C550)=1,1,0))</f>
        <v/>
      </c>
    </row>
    <row r="551">
      <c r="P551" s="6">
        <f>IF($C551="","",IF(COUNTIF($C$2:$C551,$C551)=1,1,0))</f>
        <v/>
      </c>
    </row>
    <row r="552">
      <c r="P552" s="6">
        <f>IF($C552="","",IF(COUNTIF($C$2:$C552,$C552)=1,1,0))</f>
        <v/>
      </c>
    </row>
    <row r="553">
      <c r="P553" s="6">
        <f>IF($C553="","",IF(COUNTIF($C$2:$C553,$C553)=1,1,0))</f>
        <v/>
      </c>
    </row>
    <row r="554">
      <c r="P554" s="6">
        <f>IF($C554="","",IF(COUNTIF($C$2:$C554,$C554)=1,1,0))</f>
        <v/>
      </c>
    </row>
    <row r="555">
      <c r="P555" s="6">
        <f>IF($C555="","",IF(COUNTIF($C$2:$C555,$C555)=1,1,0))</f>
        <v/>
      </c>
    </row>
    <row r="556">
      <c r="P556" s="6">
        <f>IF($C556="","",IF(COUNTIF($C$2:$C556,$C556)=1,1,0))</f>
        <v/>
      </c>
    </row>
    <row r="557">
      <c r="P557" s="6">
        <f>IF($C557="","",IF(COUNTIF($C$2:$C557,$C557)=1,1,0))</f>
        <v/>
      </c>
    </row>
    <row r="558">
      <c r="P558" s="6">
        <f>IF($C558="","",IF(COUNTIF($C$2:$C558,$C558)=1,1,0))</f>
        <v/>
      </c>
    </row>
    <row r="559">
      <c r="P559" s="6">
        <f>IF($C559="","",IF(COUNTIF($C$2:$C559,$C559)=1,1,0))</f>
        <v/>
      </c>
    </row>
    <row r="560">
      <c r="P560" s="6">
        <f>IF($C560="","",IF(COUNTIF($C$2:$C560,$C560)=1,1,0))</f>
        <v/>
      </c>
    </row>
    <row r="561">
      <c r="P561" s="6">
        <f>IF($C561="","",IF(COUNTIF($C$2:$C561,$C561)=1,1,0))</f>
        <v/>
      </c>
    </row>
    <row r="562">
      <c r="P562" s="6">
        <f>IF($C562="","",IF(COUNTIF($C$2:$C562,$C562)=1,1,0))</f>
        <v/>
      </c>
    </row>
    <row r="563">
      <c r="P563" s="6">
        <f>IF($C563="","",IF(COUNTIF($C$2:$C563,$C563)=1,1,0))</f>
        <v/>
      </c>
    </row>
    <row r="564">
      <c r="P564" s="6">
        <f>IF($C564="","",IF(COUNTIF($C$2:$C564,$C564)=1,1,0))</f>
        <v/>
      </c>
    </row>
    <row r="565">
      <c r="P565" s="6">
        <f>IF($C565="","",IF(COUNTIF($C$2:$C565,$C565)=1,1,0))</f>
        <v/>
      </c>
    </row>
    <row r="566">
      <c r="P566" s="6">
        <f>IF($C566="","",IF(COUNTIF($C$2:$C566,$C566)=1,1,0))</f>
        <v/>
      </c>
    </row>
    <row r="567">
      <c r="P567" s="6">
        <f>IF($C567="","",IF(COUNTIF($C$2:$C567,$C567)=1,1,0))</f>
        <v/>
      </c>
    </row>
    <row r="568">
      <c r="P568" s="6">
        <f>IF($C568="","",IF(COUNTIF($C$2:$C568,$C568)=1,1,0))</f>
        <v/>
      </c>
    </row>
    <row r="569">
      <c r="P569" s="6">
        <f>IF($C569="","",IF(COUNTIF($C$2:$C569,$C569)=1,1,0))</f>
        <v/>
      </c>
    </row>
    <row r="570">
      <c r="P570" s="6">
        <f>IF($C570="","",IF(COUNTIF($C$2:$C570,$C570)=1,1,0))</f>
        <v/>
      </c>
    </row>
    <row r="571">
      <c r="P571" s="6">
        <f>IF($C571="","",IF(COUNTIF($C$2:$C571,$C571)=1,1,0))</f>
        <v/>
      </c>
    </row>
    <row r="572">
      <c r="P572" s="6">
        <f>IF($C572="","",IF(COUNTIF($C$2:$C572,$C572)=1,1,0))</f>
        <v/>
      </c>
    </row>
    <row r="573">
      <c r="P573" s="6">
        <f>IF($C573="","",IF(COUNTIF($C$2:$C573,$C573)=1,1,0))</f>
        <v/>
      </c>
    </row>
    <row r="574">
      <c r="P574" s="6">
        <f>IF($C574="","",IF(COUNTIF($C$2:$C574,$C574)=1,1,0))</f>
        <v/>
      </c>
    </row>
    <row r="575">
      <c r="P575" s="6">
        <f>IF($C575="","",IF(COUNTIF($C$2:$C575,$C575)=1,1,0))</f>
        <v/>
      </c>
    </row>
    <row r="576">
      <c r="P576" s="6">
        <f>IF($C576="","",IF(COUNTIF($C$2:$C576,$C576)=1,1,0))</f>
        <v/>
      </c>
    </row>
    <row r="577">
      <c r="P577" s="6">
        <f>IF($C577="","",IF(COUNTIF($C$2:$C577,$C577)=1,1,0))</f>
        <v/>
      </c>
    </row>
    <row r="578">
      <c r="P578" s="6">
        <f>IF($C578="","",IF(COUNTIF($C$2:$C578,$C578)=1,1,0))</f>
        <v/>
      </c>
    </row>
    <row r="579">
      <c r="P579" s="6">
        <f>IF($C579="","",IF(COUNTIF($C$2:$C579,$C579)=1,1,0))</f>
        <v/>
      </c>
    </row>
    <row r="580">
      <c r="P580" s="6">
        <f>IF($C580="","",IF(COUNTIF($C$2:$C580,$C580)=1,1,0))</f>
        <v/>
      </c>
    </row>
    <row r="581">
      <c r="P581" s="6">
        <f>IF($C581="","",IF(COUNTIF($C$2:$C581,$C581)=1,1,0))</f>
        <v/>
      </c>
    </row>
    <row r="582">
      <c r="P582" s="6">
        <f>IF($C582="","",IF(COUNTIF($C$2:$C582,$C582)=1,1,0))</f>
        <v/>
      </c>
    </row>
    <row r="583">
      <c r="P583" s="6">
        <f>IF($C583="","",IF(COUNTIF($C$2:$C583,$C583)=1,1,0))</f>
        <v/>
      </c>
    </row>
    <row r="584">
      <c r="P584" s="6">
        <f>IF($C584="","",IF(COUNTIF($C$2:$C584,$C584)=1,1,0))</f>
        <v/>
      </c>
    </row>
    <row r="585">
      <c r="P585" s="6">
        <f>IF($C585="","",IF(COUNTIF($C$2:$C585,$C585)=1,1,0))</f>
        <v/>
      </c>
    </row>
    <row r="586">
      <c r="P586" s="6">
        <f>IF($C586="","",IF(COUNTIF($C$2:$C586,$C586)=1,1,0))</f>
        <v/>
      </c>
    </row>
    <row r="587">
      <c r="P587" s="6">
        <f>IF($C587="","",IF(COUNTIF($C$2:$C587,$C587)=1,1,0))</f>
        <v/>
      </c>
    </row>
    <row r="588">
      <c r="P588" s="6">
        <f>IF($C588="","",IF(COUNTIF($C$2:$C588,$C588)=1,1,0))</f>
        <v/>
      </c>
    </row>
    <row r="589">
      <c r="P589" s="6">
        <f>IF($C589="","",IF(COUNTIF($C$2:$C589,$C589)=1,1,0))</f>
        <v/>
      </c>
    </row>
    <row r="590">
      <c r="P590" s="6">
        <f>IF($C590="","",IF(COUNTIF($C$2:$C590,$C590)=1,1,0))</f>
        <v/>
      </c>
    </row>
    <row r="591">
      <c r="P591" s="6">
        <f>IF($C591="","",IF(COUNTIF($C$2:$C591,$C591)=1,1,0))</f>
        <v/>
      </c>
    </row>
    <row r="592">
      <c r="P592" s="6">
        <f>IF($C592="","",IF(COUNTIF($C$2:$C592,$C592)=1,1,0))</f>
        <v/>
      </c>
    </row>
    <row r="593">
      <c r="P593" s="6">
        <f>IF($C593="","",IF(COUNTIF($C$2:$C593,$C593)=1,1,0))</f>
        <v/>
      </c>
    </row>
    <row r="594">
      <c r="P594" s="6">
        <f>IF($C594="","",IF(COUNTIF($C$2:$C594,$C594)=1,1,0))</f>
        <v/>
      </c>
    </row>
    <row r="595">
      <c r="P595" s="6">
        <f>IF($C595="","",IF(COUNTIF($C$2:$C595,$C595)=1,1,0))</f>
        <v/>
      </c>
    </row>
    <row r="596">
      <c r="P596" s="6">
        <f>IF($C596="","",IF(COUNTIF($C$2:$C596,$C596)=1,1,0))</f>
        <v/>
      </c>
    </row>
    <row r="597">
      <c r="P597" s="6">
        <f>IF($C597="","",IF(COUNTIF($C$2:$C597,$C597)=1,1,0))</f>
        <v/>
      </c>
    </row>
    <row r="598">
      <c r="P598" s="6">
        <f>IF($C598="","",IF(COUNTIF($C$2:$C598,$C598)=1,1,0))</f>
        <v/>
      </c>
    </row>
    <row r="599">
      <c r="P599" s="6">
        <f>IF($C599="","",IF(COUNTIF($C$2:$C599,$C599)=1,1,0))</f>
        <v/>
      </c>
    </row>
    <row r="600">
      <c r="P600" s="6">
        <f>IF($C600="","",IF(COUNTIF($C$2:$C600,$C600)=1,1,0))</f>
        <v/>
      </c>
    </row>
    <row r="601">
      <c r="P601" s="6">
        <f>IF($C601="","",IF(COUNTIF($C$2:$C601,$C601)=1,1,0))</f>
        <v/>
      </c>
    </row>
    <row r="602">
      <c r="P602" s="6">
        <f>IF($C602="","",IF(COUNTIF($C$2:$C602,$C602)=1,1,0))</f>
        <v/>
      </c>
    </row>
    <row r="603">
      <c r="P603" s="6">
        <f>IF($C603="","",IF(COUNTIF($C$2:$C603,$C603)=1,1,0))</f>
        <v/>
      </c>
    </row>
    <row r="604">
      <c r="P604" s="6">
        <f>IF($C604="","",IF(COUNTIF($C$2:$C604,$C604)=1,1,0))</f>
        <v/>
      </c>
    </row>
    <row r="605">
      <c r="P605" s="6">
        <f>IF($C605="","",IF(COUNTIF($C$2:$C605,$C605)=1,1,0))</f>
        <v/>
      </c>
    </row>
    <row r="606">
      <c r="P606" s="6">
        <f>IF($C606="","",IF(COUNTIF($C$2:$C606,$C606)=1,1,0))</f>
        <v/>
      </c>
    </row>
    <row r="607">
      <c r="P607" s="6">
        <f>IF($C607="","",IF(COUNTIF($C$2:$C607,$C607)=1,1,0))</f>
        <v/>
      </c>
    </row>
    <row r="608">
      <c r="P608" s="6">
        <f>IF($C608="","",IF(COUNTIF($C$2:$C608,$C608)=1,1,0))</f>
        <v/>
      </c>
    </row>
    <row r="609">
      <c r="P609" s="6">
        <f>IF($C609="","",IF(COUNTIF($C$2:$C609,$C609)=1,1,0))</f>
        <v/>
      </c>
    </row>
    <row r="610">
      <c r="P610" s="6">
        <f>IF($C610="","",IF(COUNTIF($C$2:$C610,$C610)=1,1,0))</f>
        <v/>
      </c>
    </row>
    <row r="611">
      <c r="P611" s="6">
        <f>IF($C611="","",IF(COUNTIF($C$2:$C611,$C611)=1,1,0))</f>
        <v/>
      </c>
    </row>
    <row r="612">
      <c r="P612" s="6">
        <f>IF($C612="","",IF(COUNTIF($C$2:$C612,$C612)=1,1,0))</f>
        <v/>
      </c>
    </row>
    <row r="613">
      <c r="P613" s="6">
        <f>IF($C613="","",IF(COUNTIF($C$2:$C613,$C613)=1,1,0))</f>
        <v/>
      </c>
    </row>
    <row r="614">
      <c r="P614" s="6">
        <f>IF($C614="","",IF(COUNTIF($C$2:$C614,$C614)=1,1,0))</f>
        <v/>
      </c>
    </row>
    <row r="615">
      <c r="P615" s="6">
        <f>IF($C615="","",IF(COUNTIF($C$2:$C615,$C615)=1,1,0))</f>
        <v/>
      </c>
    </row>
    <row r="616">
      <c r="P616" s="6">
        <f>IF($C616="","",IF(COUNTIF($C$2:$C616,$C616)=1,1,0))</f>
        <v/>
      </c>
    </row>
    <row r="617">
      <c r="P617" s="6">
        <f>IF($C617="","",IF(COUNTIF($C$2:$C617,$C617)=1,1,0))</f>
        <v/>
      </c>
    </row>
    <row r="618">
      <c r="P618" s="6">
        <f>IF($C618="","",IF(COUNTIF($C$2:$C618,$C618)=1,1,0))</f>
        <v/>
      </c>
    </row>
    <row r="619">
      <c r="P619" s="6">
        <f>IF($C619="","",IF(COUNTIF($C$2:$C619,$C619)=1,1,0))</f>
        <v/>
      </c>
    </row>
    <row r="620">
      <c r="P620" s="6">
        <f>IF($C620="","",IF(COUNTIF($C$2:$C620,$C620)=1,1,0))</f>
        <v/>
      </c>
    </row>
    <row r="621">
      <c r="P621" s="6">
        <f>IF($C621="","",IF(COUNTIF($C$2:$C621,$C621)=1,1,0))</f>
        <v/>
      </c>
    </row>
    <row r="622">
      <c r="P622" s="6">
        <f>IF($C622="","",IF(COUNTIF($C$2:$C622,$C622)=1,1,0))</f>
        <v/>
      </c>
    </row>
    <row r="623">
      <c r="P623" s="6">
        <f>IF($C623="","",IF(COUNTIF($C$2:$C623,$C623)=1,1,0))</f>
        <v/>
      </c>
    </row>
    <row r="624">
      <c r="P624" s="6">
        <f>IF($C624="","",IF(COUNTIF($C$2:$C624,$C624)=1,1,0))</f>
        <v/>
      </c>
    </row>
    <row r="625">
      <c r="P625" s="6">
        <f>IF($C625="","",IF(COUNTIF($C$2:$C625,$C625)=1,1,0))</f>
        <v/>
      </c>
    </row>
    <row r="626">
      <c r="P626" s="6">
        <f>IF($C626="","",IF(COUNTIF($C$2:$C626,$C626)=1,1,0))</f>
        <v/>
      </c>
    </row>
    <row r="627">
      <c r="P627" s="6">
        <f>IF($C627="","",IF(COUNTIF($C$2:$C627,$C627)=1,1,0))</f>
        <v/>
      </c>
    </row>
    <row r="628">
      <c r="P628" s="6">
        <f>IF($C628="","",IF(COUNTIF($C$2:$C628,$C628)=1,1,0))</f>
        <v/>
      </c>
    </row>
    <row r="629">
      <c r="P629" s="6">
        <f>IF($C629="","",IF(COUNTIF($C$2:$C629,$C629)=1,1,0))</f>
        <v/>
      </c>
    </row>
    <row r="630">
      <c r="P630" s="6">
        <f>IF($C630="","",IF(COUNTIF($C$2:$C630,$C630)=1,1,0))</f>
        <v/>
      </c>
    </row>
    <row r="631">
      <c r="P631" s="6">
        <f>IF($C631="","",IF(COUNTIF($C$2:$C631,$C631)=1,1,0))</f>
        <v/>
      </c>
    </row>
    <row r="632">
      <c r="P632" s="6">
        <f>IF($C632="","",IF(COUNTIF($C$2:$C632,$C632)=1,1,0))</f>
        <v/>
      </c>
    </row>
    <row r="633">
      <c r="P633" s="6">
        <f>IF($C633="","",IF(COUNTIF($C$2:$C633,$C633)=1,1,0))</f>
        <v/>
      </c>
    </row>
    <row r="634">
      <c r="P634" s="6">
        <f>IF($C634="","",IF(COUNTIF($C$2:$C634,$C634)=1,1,0))</f>
        <v/>
      </c>
    </row>
    <row r="635">
      <c r="P635" s="6">
        <f>IF($C635="","",IF(COUNTIF($C$2:$C635,$C635)=1,1,0))</f>
        <v/>
      </c>
    </row>
    <row r="636">
      <c r="P636" s="6">
        <f>IF($C636="","",IF(COUNTIF($C$2:$C636,$C636)=1,1,0))</f>
        <v/>
      </c>
    </row>
    <row r="637">
      <c r="P637" s="6">
        <f>IF($C637="","",IF(COUNTIF($C$2:$C637,$C637)=1,1,0))</f>
        <v/>
      </c>
    </row>
    <row r="638">
      <c r="P638" s="6">
        <f>IF($C638="","",IF(COUNTIF($C$2:$C638,$C638)=1,1,0))</f>
        <v/>
      </c>
    </row>
    <row r="639">
      <c r="P639" s="6">
        <f>IF($C639="","",IF(COUNTIF($C$2:$C639,$C639)=1,1,0))</f>
        <v/>
      </c>
    </row>
    <row r="640">
      <c r="P640" s="6">
        <f>IF($C640="","",IF(COUNTIF($C$2:$C640,$C640)=1,1,0))</f>
        <v/>
      </c>
    </row>
    <row r="641">
      <c r="P641" s="6">
        <f>IF($C641="","",IF(COUNTIF($C$2:$C641,$C641)=1,1,0))</f>
        <v/>
      </c>
    </row>
    <row r="642">
      <c r="P642" s="6">
        <f>IF($C642="","",IF(COUNTIF($C$2:$C642,$C642)=1,1,0))</f>
        <v/>
      </c>
    </row>
    <row r="643">
      <c r="P643" s="6">
        <f>IF($C643="","",IF(COUNTIF($C$2:$C643,$C643)=1,1,0))</f>
        <v/>
      </c>
    </row>
    <row r="644">
      <c r="P644" s="6">
        <f>IF($C644="","",IF(COUNTIF($C$2:$C644,$C644)=1,1,0))</f>
        <v/>
      </c>
    </row>
    <row r="645">
      <c r="P645" s="6">
        <f>IF($C645="","",IF(COUNTIF($C$2:$C645,$C645)=1,1,0))</f>
        <v/>
      </c>
    </row>
    <row r="646">
      <c r="P646" s="6">
        <f>IF($C646="","",IF(COUNTIF($C$2:$C646,$C646)=1,1,0))</f>
        <v/>
      </c>
    </row>
    <row r="647">
      <c r="P647" s="6">
        <f>IF($C647="","",IF(COUNTIF($C$2:$C647,$C647)=1,1,0))</f>
        <v/>
      </c>
    </row>
    <row r="648">
      <c r="P648" s="6">
        <f>IF($C648="","",IF(COUNTIF($C$2:$C648,$C648)=1,1,0))</f>
        <v/>
      </c>
    </row>
    <row r="649">
      <c r="P649" s="6">
        <f>IF($C649="","",IF(COUNTIF($C$2:$C649,$C649)=1,1,0))</f>
        <v/>
      </c>
    </row>
    <row r="650">
      <c r="P650" s="6">
        <f>IF($C650="","",IF(COUNTIF($C$2:$C650,$C650)=1,1,0))</f>
        <v/>
      </c>
    </row>
    <row r="651">
      <c r="P651" s="6">
        <f>IF($C651="","",IF(COUNTIF($C$2:$C651,$C651)=1,1,0))</f>
        <v/>
      </c>
    </row>
    <row r="652">
      <c r="P652" s="6">
        <f>IF($C652="","",IF(COUNTIF($C$2:$C652,$C652)=1,1,0))</f>
        <v/>
      </c>
    </row>
    <row r="653">
      <c r="P653" s="6">
        <f>IF($C653="","",IF(COUNTIF($C$2:$C653,$C653)=1,1,0))</f>
        <v/>
      </c>
    </row>
    <row r="654">
      <c r="P654" s="6">
        <f>IF($C654="","",IF(COUNTIF($C$2:$C654,$C654)=1,1,0))</f>
        <v/>
      </c>
    </row>
    <row r="655">
      <c r="P655" s="6">
        <f>IF($C655="","",IF(COUNTIF($C$2:$C655,$C655)=1,1,0))</f>
        <v/>
      </c>
    </row>
    <row r="656">
      <c r="P656" s="6">
        <f>IF($C656="","",IF(COUNTIF($C$2:$C656,$C656)=1,1,0))</f>
        <v/>
      </c>
    </row>
    <row r="657">
      <c r="P657" s="6">
        <f>IF($C657="","",IF(COUNTIF($C$2:$C657,$C657)=1,1,0))</f>
        <v/>
      </c>
    </row>
    <row r="658">
      <c r="P658" s="6">
        <f>IF($C658="","",IF(COUNTIF($C$2:$C658,$C658)=1,1,0))</f>
        <v/>
      </c>
    </row>
    <row r="659">
      <c r="P659" s="6">
        <f>IF($C659="","",IF(COUNTIF($C$2:$C659,$C659)=1,1,0))</f>
        <v/>
      </c>
    </row>
    <row r="660">
      <c r="P660" s="6">
        <f>IF($C660="","",IF(COUNTIF($C$2:$C660,$C660)=1,1,0))</f>
        <v/>
      </c>
    </row>
    <row r="661">
      <c r="P661" s="6">
        <f>IF($C661="","",IF(COUNTIF($C$2:$C661,$C661)=1,1,0))</f>
        <v/>
      </c>
    </row>
    <row r="662">
      <c r="P662" s="6">
        <f>IF($C662="","",IF(COUNTIF($C$2:$C662,$C662)=1,1,0))</f>
        <v/>
      </c>
    </row>
    <row r="663">
      <c r="P663" s="6">
        <f>IF($C663="","",IF(COUNTIF($C$2:$C663,$C663)=1,1,0))</f>
        <v/>
      </c>
    </row>
    <row r="664">
      <c r="P664" s="6">
        <f>IF($C664="","",IF(COUNTIF($C$2:$C664,$C664)=1,1,0))</f>
        <v/>
      </c>
    </row>
    <row r="665">
      <c r="P665" s="6">
        <f>IF($C665="","",IF(COUNTIF($C$2:$C665,$C665)=1,1,0))</f>
        <v/>
      </c>
    </row>
    <row r="666">
      <c r="P666" s="6">
        <f>IF($C666="","",IF(COUNTIF($C$2:$C666,$C666)=1,1,0))</f>
        <v/>
      </c>
    </row>
    <row r="667">
      <c r="P667" s="6">
        <f>IF($C667="","",IF(COUNTIF($C$2:$C667,$C667)=1,1,0))</f>
        <v/>
      </c>
    </row>
    <row r="668">
      <c r="P668" s="6">
        <f>IF($C668="","",IF(COUNTIF($C$2:$C668,$C668)=1,1,0))</f>
        <v/>
      </c>
    </row>
    <row r="669">
      <c r="P669" s="6">
        <f>IF($C669="","",IF(COUNTIF($C$2:$C669,$C669)=1,1,0))</f>
        <v/>
      </c>
    </row>
    <row r="670">
      <c r="P670" s="6">
        <f>IF($C670="","",IF(COUNTIF($C$2:$C670,$C670)=1,1,0))</f>
        <v/>
      </c>
    </row>
    <row r="671">
      <c r="P671" s="6">
        <f>IF($C671="","",IF(COUNTIF($C$2:$C671,$C671)=1,1,0))</f>
        <v/>
      </c>
    </row>
    <row r="672">
      <c r="P672" s="6">
        <f>IF($C672="","",IF(COUNTIF($C$2:$C672,$C672)=1,1,0))</f>
        <v/>
      </c>
    </row>
    <row r="673">
      <c r="P673" s="6">
        <f>IF($C673="","",IF(COUNTIF($C$2:$C673,$C673)=1,1,0))</f>
        <v/>
      </c>
    </row>
    <row r="674">
      <c r="P674" s="6">
        <f>IF($C674="","",IF(COUNTIF($C$2:$C674,$C674)=1,1,0))</f>
        <v/>
      </c>
    </row>
    <row r="675">
      <c r="P675" s="6">
        <f>IF($C675="","",IF(COUNTIF($C$2:$C675,$C675)=1,1,0))</f>
        <v/>
      </c>
    </row>
    <row r="676">
      <c r="P676" s="6">
        <f>IF($C676="","",IF(COUNTIF($C$2:$C676,$C676)=1,1,0))</f>
        <v/>
      </c>
    </row>
    <row r="677">
      <c r="P677" s="6">
        <f>IF($C677="","",IF(COUNTIF($C$2:$C677,$C677)=1,1,0))</f>
        <v/>
      </c>
    </row>
    <row r="678">
      <c r="P678" s="6">
        <f>IF($C678="","",IF(COUNTIF($C$2:$C678,$C678)=1,1,0))</f>
        <v/>
      </c>
    </row>
    <row r="679">
      <c r="P679" s="6">
        <f>IF($C679="","",IF(COUNTIF($C$2:$C679,$C679)=1,1,0))</f>
        <v/>
      </c>
    </row>
    <row r="680">
      <c r="P680" s="6">
        <f>IF($C680="","",IF(COUNTIF($C$2:$C680,$C680)=1,1,0))</f>
        <v/>
      </c>
    </row>
    <row r="681">
      <c r="P681" s="6">
        <f>IF($C681="","",IF(COUNTIF($C$2:$C681,$C681)=1,1,0))</f>
        <v/>
      </c>
    </row>
    <row r="682">
      <c r="P682" s="6">
        <f>IF($C682="","",IF(COUNTIF($C$2:$C682,$C682)=1,1,0))</f>
        <v/>
      </c>
    </row>
    <row r="683">
      <c r="P683" s="6">
        <f>IF($C683="","",IF(COUNTIF($C$2:$C683,$C683)=1,1,0))</f>
        <v/>
      </c>
    </row>
    <row r="684">
      <c r="P684" s="6">
        <f>IF($C684="","",IF(COUNTIF($C$2:$C684,$C684)=1,1,0))</f>
        <v/>
      </c>
    </row>
    <row r="685">
      <c r="P685" s="6">
        <f>IF($C685="","",IF(COUNTIF($C$2:$C685,$C685)=1,1,0))</f>
        <v/>
      </c>
    </row>
    <row r="686">
      <c r="P686" s="6">
        <f>IF($C686="","",IF(COUNTIF($C$2:$C686,$C686)=1,1,0))</f>
        <v/>
      </c>
    </row>
    <row r="687">
      <c r="P687" s="6">
        <f>IF($C687="","",IF(COUNTIF($C$2:$C687,$C687)=1,1,0))</f>
        <v/>
      </c>
    </row>
    <row r="688">
      <c r="P688" s="6">
        <f>IF($C688="","",IF(COUNTIF($C$2:$C688,$C688)=1,1,0))</f>
        <v/>
      </c>
    </row>
    <row r="689">
      <c r="P689" s="6">
        <f>IF($C689="","",IF(COUNTIF($C$2:$C689,$C689)=1,1,0))</f>
        <v/>
      </c>
    </row>
    <row r="690">
      <c r="P690" s="6">
        <f>IF($C690="","",IF(COUNTIF($C$2:$C690,$C690)=1,1,0))</f>
        <v/>
      </c>
    </row>
    <row r="691">
      <c r="P691" s="6">
        <f>IF($C691="","",IF(COUNTIF($C$2:$C691,$C691)=1,1,0))</f>
        <v/>
      </c>
    </row>
    <row r="692">
      <c r="P692" s="6">
        <f>IF($C692="","",IF(COUNTIF($C$2:$C692,$C692)=1,1,0))</f>
        <v/>
      </c>
    </row>
    <row r="693">
      <c r="P693" s="6">
        <f>IF($C693="","",IF(COUNTIF($C$2:$C693,$C693)=1,1,0))</f>
        <v/>
      </c>
    </row>
    <row r="694">
      <c r="P694" s="6">
        <f>IF($C694="","",IF(COUNTIF($C$2:$C694,$C694)=1,1,0))</f>
        <v/>
      </c>
    </row>
    <row r="695">
      <c r="P695" s="6">
        <f>IF($C695="","",IF(COUNTIF($C$2:$C695,$C695)=1,1,0))</f>
        <v/>
      </c>
    </row>
    <row r="696">
      <c r="P696" s="6">
        <f>IF($C696="","",IF(COUNTIF($C$2:$C696,$C696)=1,1,0))</f>
        <v/>
      </c>
    </row>
    <row r="697">
      <c r="P697" s="6">
        <f>IF($C697="","",IF(COUNTIF($C$2:$C697,$C697)=1,1,0))</f>
        <v/>
      </c>
    </row>
    <row r="698">
      <c r="P698" s="6">
        <f>IF($C698="","",IF(COUNTIF($C$2:$C698,$C698)=1,1,0))</f>
        <v/>
      </c>
    </row>
    <row r="699">
      <c r="P699" s="6">
        <f>IF($C699="","",IF(COUNTIF($C$2:$C699,$C699)=1,1,0))</f>
        <v/>
      </c>
    </row>
    <row r="700">
      <c r="P700" s="6">
        <f>IF($C700="","",IF(COUNTIF($C$2:$C700,$C700)=1,1,0))</f>
        <v/>
      </c>
    </row>
    <row r="701">
      <c r="P701" s="6">
        <f>IF($C701="","",IF(COUNTIF($C$2:$C701,$C701)=1,1,0))</f>
        <v/>
      </c>
    </row>
    <row r="702">
      <c r="P702" s="6">
        <f>IF($C702="","",IF(COUNTIF($C$2:$C702,$C702)=1,1,0))</f>
        <v/>
      </c>
    </row>
    <row r="703">
      <c r="P703" s="6">
        <f>IF($C703="","",IF(COUNTIF($C$2:$C703,$C703)=1,1,0))</f>
        <v/>
      </c>
    </row>
    <row r="704">
      <c r="P704" s="6">
        <f>IF($C704="","",IF(COUNTIF($C$2:$C704,$C704)=1,1,0))</f>
        <v/>
      </c>
    </row>
    <row r="705">
      <c r="P705" s="6">
        <f>IF($C705="","",IF(COUNTIF($C$2:$C705,$C705)=1,1,0))</f>
        <v/>
      </c>
    </row>
    <row r="706">
      <c r="P706" s="6">
        <f>IF($C706="","",IF(COUNTIF($C$2:$C706,$C706)=1,1,0))</f>
        <v/>
      </c>
    </row>
    <row r="707">
      <c r="P707" s="6">
        <f>IF($C707="","",IF(COUNTIF($C$2:$C707,$C707)=1,1,0))</f>
        <v/>
      </c>
    </row>
    <row r="708">
      <c r="P708" s="6">
        <f>IF($C708="","",IF(COUNTIF($C$2:$C708,$C708)=1,1,0))</f>
        <v/>
      </c>
    </row>
    <row r="709">
      <c r="P709" s="6">
        <f>IF($C709="","",IF(COUNTIF($C$2:$C709,$C709)=1,1,0))</f>
        <v/>
      </c>
    </row>
    <row r="710">
      <c r="P710" s="6">
        <f>IF($C710="","",IF(COUNTIF($C$2:$C710,$C710)=1,1,0))</f>
        <v/>
      </c>
    </row>
    <row r="711">
      <c r="P711" s="6">
        <f>IF($C711="","",IF(COUNTIF($C$2:$C711,$C711)=1,1,0))</f>
        <v/>
      </c>
    </row>
    <row r="712">
      <c r="P712" s="6">
        <f>IF($C712="","",IF(COUNTIF($C$2:$C712,$C712)=1,1,0))</f>
        <v/>
      </c>
    </row>
    <row r="713">
      <c r="P713" s="6">
        <f>IF($C713="","",IF(COUNTIF($C$2:$C713,$C713)=1,1,0))</f>
        <v/>
      </c>
    </row>
    <row r="714">
      <c r="P714" s="6">
        <f>IF($C714="","",IF(COUNTIF($C$2:$C714,$C714)=1,1,0))</f>
        <v/>
      </c>
    </row>
    <row r="715">
      <c r="P715" s="6">
        <f>IF($C715="","",IF(COUNTIF($C$2:$C715,$C715)=1,1,0))</f>
        <v/>
      </c>
    </row>
    <row r="716">
      <c r="P716" s="6">
        <f>IF($C716="","",IF(COUNTIF($C$2:$C716,$C716)=1,1,0))</f>
        <v/>
      </c>
    </row>
    <row r="717">
      <c r="P717" s="6">
        <f>IF($C717="","",IF(COUNTIF($C$2:$C717,$C717)=1,1,0))</f>
        <v/>
      </c>
    </row>
    <row r="718">
      <c r="P718" s="6">
        <f>IF($C718="","",IF(COUNTIF($C$2:$C718,$C718)=1,1,0))</f>
        <v/>
      </c>
    </row>
    <row r="719">
      <c r="P719" s="6">
        <f>IF($C719="","",IF(COUNTIF($C$2:$C719,$C719)=1,1,0))</f>
        <v/>
      </c>
    </row>
    <row r="720">
      <c r="P720" s="6">
        <f>IF($C720="","",IF(COUNTIF($C$2:$C720,$C720)=1,1,0))</f>
        <v/>
      </c>
    </row>
    <row r="721">
      <c r="P721" s="6">
        <f>IF($C721="","",IF(COUNTIF($C$2:$C721,$C721)=1,1,0))</f>
        <v/>
      </c>
    </row>
    <row r="722">
      <c r="P722" s="6">
        <f>IF($C722="","",IF(COUNTIF($C$2:$C722,$C722)=1,1,0))</f>
        <v/>
      </c>
    </row>
    <row r="723">
      <c r="P723" s="6">
        <f>IF($C723="","",IF(COUNTIF($C$2:$C723,$C723)=1,1,0))</f>
        <v/>
      </c>
    </row>
    <row r="724">
      <c r="P724" s="6">
        <f>IF($C724="","",IF(COUNTIF($C$2:$C724,$C724)=1,1,0))</f>
        <v/>
      </c>
    </row>
    <row r="725">
      <c r="P725" s="6">
        <f>IF($C725="","",IF(COUNTIF($C$2:$C725,$C725)=1,1,0))</f>
        <v/>
      </c>
    </row>
    <row r="726">
      <c r="P726" s="6">
        <f>IF($C726="","",IF(COUNTIF($C$2:$C726,$C726)=1,1,0))</f>
        <v/>
      </c>
    </row>
    <row r="727">
      <c r="P727" s="6">
        <f>IF($C727="","",IF(COUNTIF($C$2:$C727,$C727)=1,1,0))</f>
        <v/>
      </c>
    </row>
    <row r="728">
      <c r="P728" s="6">
        <f>IF($C728="","",IF(COUNTIF($C$2:$C728,$C728)=1,1,0))</f>
        <v/>
      </c>
    </row>
    <row r="729">
      <c r="P729" s="6">
        <f>IF($C729="","",IF(COUNTIF($C$2:$C729,$C729)=1,1,0))</f>
        <v/>
      </c>
    </row>
    <row r="730">
      <c r="P730" s="6">
        <f>IF($C730="","",IF(COUNTIF($C$2:$C730,$C730)=1,1,0))</f>
        <v/>
      </c>
    </row>
    <row r="731">
      <c r="P731" s="6">
        <f>IF($C731="","",IF(COUNTIF($C$2:$C731,$C731)=1,1,0))</f>
        <v/>
      </c>
    </row>
    <row r="732">
      <c r="P732" s="6">
        <f>IF($C732="","",IF(COUNTIF($C$2:$C732,$C732)=1,1,0))</f>
        <v/>
      </c>
    </row>
    <row r="733">
      <c r="P733" s="6">
        <f>IF($C733="","",IF(COUNTIF($C$2:$C733,$C733)=1,1,0))</f>
        <v/>
      </c>
    </row>
    <row r="734">
      <c r="P734" s="6">
        <f>IF($C734="","",IF(COUNTIF($C$2:$C734,$C734)=1,1,0))</f>
        <v/>
      </c>
    </row>
    <row r="735">
      <c r="P735" s="6">
        <f>IF($C735="","",IF(COUNTIF($C$2:$C735,$C735)=1,1,0))</f>
        <v/>
      </c>
    </row>
    <row r="736">
      <c r="P736" s="6">
        <f>IF($C736="","",IF(COUNTIF($C$2:$C736,$C736)=1,1,0))</f>
        <v/>
      </c>
    </row>
    <row r="737">
      <c r="P737" s="6">
        <f>IF($C737="","",IF(COUNTIF($C$2:$C737,$C737)=1,1,0))</f>
        <v/>
      </c>
    </row>
    <row r="738">
      <c r="P738" s="6">
        <f>IF($C738="","",IF(COUNTIF($C$2:$C738,$C738)=1,1,0))</f>
        <v/>
      </c>
    </row>
    <row r="739">
      <c r="P739" s="6">
        <f>IF($C739="","",IF(COUNTIF($C$2:$C739,$C739)=1,1,0))</f>
        <v/>
      </c>
    </row>
    <row r="740">
      <c r="P740" s="6">
        <f>IF($C740="","",IF(COUNTIF($C$2:$C740,$C740)=1,1,0))</f>
        <v/>
      </c>
    </row>
    <row r="741">
      <c r="P741" s="6">
        <f>IF($C741="","",IF(COUNTIF($C$2:$C741,$C741)=1,1,0))</f>
        <v/>
      </c>
    </row>
    <row r="742">
      <c r="P742" s="6">
        <f>IF($C742="","",IF(COUNTIF($C$2:$C742,$C742)=1,1,0))</f>
        <v/>
      </c>
    </row>
    <row r="743">
      <c r="P743" s="6">
        <f>IF($C743="","",IF(COUNTIF($C$2:$C743,$C743)=1,1,0))</f>
        <v/>
      </c>
    </row>
    <row r="744">
      <c r="P744" s="6">
        <f>IF($C744="","",IF(COUNTIF($C$2:$C744,$C744)=1,1,0))</f>
        <v/>
      </c>
    </row>
    <row r="745">
      <c r="P745" s="6">
        <f>IF($C745="","",IF(COUNTIF($C$2:$C745,$C745)=1,1,0))</f>
        <v/>
      </c>
    </row>
    <row r="746">
      <c r="P746" s="6">
        <f>IF($C746="","",IF(COUNTIF($C$2:$C746,$C746)=1,1,0))</f>
        <v/>
      </c>
    </row>
    <row r="747">
      <c r="P747" s="6">
        <f>IF($C747="","",IF(COUNTIF($C$2:$C747,$C747)=1,1,0))</f>
        <v/>
      </c>
    </row>
    <row r="748">
      <c r="P748" s="6">
        <f>IF($C748="","",IF(COUNTIF($C$2:$C748,$C748)=1,1,0))</f>
        <v/>
      </c>
    </row>
    <row r="749">
      <c r="P749" s="6">
        <f>IF($C749="","",IF(COUNTIF($C$2:$C749,$C749)=1,1,0))</f>
        <v/>
      </c>
    </row>
    <row r="750">
      <c r="P750" s="6">
        <f>IF($C750="","",IF(COUNTIF($C$2:$C750,$C750)=1,1,0))</f>
        <v/>
      </c>
    </row>
    <row r="751">
      <c r="P751" s="6">
        <f>IF($C751="","",IF(COUNTIF($C$2:$C751,$C751)=1,1,0))</f>
        <v/>
      </c>
    </row>
    <row r="752">
      <c r="P752" s="6">
        <f>IF($C752="","",IF(COUNTIF($C$2:$C752,$C752)=1,1,0))</f>
        <v/>
      </c>
    </row>
    <row r="753">
      <c r="P753" s="6">
        <f>IF($C753="","",IF(COUNTIF($C$2:$C753,$C753)=1,1,0))</f>
        <v/>
      </c>
    </row>
    <row r="754">
      <c r="P754" s="6">
        <f>IF($C754="","",IF(COUNTIF($C$2:$C754,$C754)=1,1,0))</f>
        <v/>
      </c>
    </row>
    <row r="755">
      <c r="P755" s="6">
        <f>IF($C755="","",IF(COUNTIF($C$2:$C755,$C755)=1,1,0))</f>
        <v/>
      </c>
    </row>
    <row r="756">
      <c r="P756" s="6">
        <f>IF($C756="","",IF(COUNTIF($C$2:$C756,$C756)=1,1,0))</f>
        <v/>
      </c>
    </row>
    <row r="757">
      <c r="P757" s="6">
        <f>IF($C757="","",IF(COUNTIF($C$2:$C757,$C757)=1,1,0))</f>
        <v/>
      </c>
    </row>
    <row r="758">
      <c r="P758" s="6">
        <f>IF($C758="","",IF(COUNTIF($C$2:$C758,$C758)=1,1,0))</f>
        <v/>
      </c>
    </row>
    <row r="759">
      <c r="P759" s="6">
        <f>IF($C759="","",IF(COUNTIF($C$2:$C759,$C759)=1,1,0))</f>
        <v/>
      </c>
    </row>
    <row r="760">
      <c r="P760" s="6">
        <f>IF($C760="","",IF(COUNTIF($C$2:$C760,$C760)=1,1,0))</f>
        <v/>
      </c>
    </row>
    <row r="761">
      <c r="P761" s="6">
        <f>IF($C761="","",IF(COUNTIF($C$2:$C761,$C761)=1,1,0))</f>
        <v/>
      </c>
    </row>
    <row r="762">
      <c r="P762" s="6">
        <f>IF($C762="","",IF(COUNTIF($C$2:$C762,$C762)=1,1,0))</f>
        <v/>
      </c>
    </row>
    <row r="763">
      <c r="P763" s="6">
        <f>IF($C763="","",IF(COUNTIF($C$2:$C763,$C763)=1,1,0))</f>
        <v/>
      </c>
    </row>
    <row r="764">
      <c r="P764" s="6">
        <f>IF($C764="","",IF(COUNTIF($C$2:$C764,$C764)=1,1,0))</f>
        <v/>
      </c>
    </row>
    <row r="765">
      <c r="P765" s="6">
        <f>IF($C765="","",IF(COUNTIF($C$2:$C765,$C765)=1,1,0))</f>
        <v/>
      </c>
    </row>
    <row r="766">
      <c r="P766" s="6">
        <f>IF($C766="","",IF(COUNTIF($C$2:$C766,$C766)=1,1,0))</f>
        <v/>
      </c>
    </row>
    <row r="767">
      <c r="P767" s="6">
        <f>IF($C767="","",IF(COUNTIF($C$2:$C767,$C767)=1,1,0))</f>
        <v/>
      </c>
    </row>
    <row r="768">
      <c r="P768" s="6">
        <f>IF($C768="","",IF(COUNTIF($C$2:$C768,$C768)=1,1,0))</f>
        <v/>
      </c>
    </row>
    <row r="769">
      <c r="P769" s="6">
        <f>IF($C769="","",IF(COUNTIF($C$2:$C769,$C769)=1,1,0))</f>
        <v/>
      </c>
    </row>
    <row r="770">
      <c r="P770" s="6">
        <f>IF($C770="","",IF(COUNTIF($C$2:$C770,$C770)=1,1,0))</f>
        <v/>
      </c>
    </row>
    <row r="771">
      <c r="P771" s="6">
        <f>IF($C771="","",IF(COUNTIF($C$2:$C771,$C771)=1,1,0))</f>
        <v/>
      </c>
    </row>
    <row r="772">
      <c r="P772" s="6">
        <f>IF($C772="","",IF(COUNTIF($C$2:$C772,$C772)=1,1,0))</f>
        <v/>
      </c>
    </row>
    <row r="773">
      <c r="P773" s="6">
        <f>IF($C773="","",IF(COUNTIF($C$2:$C773,$C773)=1,1,0))</f>
        <v/>
      </c>
    </row>
    <row r="774">
      <c r="P774" s="6">
        <f>IF($C774="","",IF(COUNTIF($C$2:$C774,$C774)=1,1,0))</f>
        <v/>
      </c>
    </row>
    <row r="775">
      <c r="P775" s="6">
        <f>IF($C775="","",IF(COUNTIF($C$2:$C775,$C775)=1,1,0))</f>
        <v/>
      </c>
    </row>
    <row r="776">
      <c r="P776" s="6">
        <f>IF($C776="","",IF(COUNTIF($C$2:$C776,$C776)=1,1,0))</f>
        <v/>
      </c>
    </row>
    <row r="777">
      <c r="P777" s="6">
        <f>IF($C777="","",IF(COUNTIF($C$2:$C777,$C777)=1,1,0))</f>
        <v/>
      </c>
    </row>
    <row r="778">
      <c r="P778" s="6">
        <f>IF($C778="","",IF(COUNTIF($C$2:$C778,$C778)=1,1,0))</f>
        <v/>
      </c>
    </row>
    <row r="779">
      <c r="P779" s="6">
        <f>IF($C779="","",IF(COUNTIF($C$2:$C779,$C779)=1,1,0))</f>
        <v/>
      </c>
    </row>
    <row r="780">
      <c r="P780" s="6">
        <f>IF($C780="","",IF(COUNTIF($C$2:$C780,$C780)=1,1,0))</f>
        <v/>
      </c>
    </row>
    <row r="781">
      <c r="P781" s="6">
        <f>IF($C781="","",IF(COUNTIF($C$2:$C781,$C781)=1,1,0))</f>
        <v/>
      </c>
    </row>
    <row r="782">
      <c r="P782" s="6">
        <f>IF($C782="","",IF(COUNTIF($C$2:$C782,$C782)=1,1,0))</f>
        <v/>
      </c>
    </row>
    <row r="783">
      <c r="P783" s="6">
        <f>IF($C783="","",IF(COUNTIF($C$2:$C783,$C783)=1,1,0))</f>
        <v/>
      </c>
    </row>
    <row r="784">
      <c r="P784" s="6">
        <f>IF($C784="","",IF(COUNTIF($C$2:$C784,$C784)=1,1,0))</f>
        <v/>
      </c>
    </row>
    <row r="785">
      <c r="P785" s="6">
        <f>IF($C785="","",IF(COUNTIF($C$2:$C785,$C785)=1,1,0))</f>
        <v/>
      </c>
    </row>
    <row r="786">
      <c r="P786" s="6">
        <f>IF($C786="","",IF(COUNTIF($C$2:$C786,$C786)=1,1,0))</f>
        <v/>
      </c>
    </row>
    <row r="787">
      <c r="P787" s="6">
        <f>IF($C787="","",IF(COUNTIF($C$2:$C787,$C787)=1,1,0))</f>
        <v/>
      </c>
    </row>
    <row r="788">
      <c r="P788" s="6">
        <f>IF($C788="","",IF(COUNTIF($C$2:$C788,$C788)=1,1,0))</f>
        <v/>
      </c>
    </row>
    <row r="789">
      <c r="P789" s="6">
        <f>IF($C789="","",IF(COUNTIF($C$2:$C789,$C789)=1,1,0))</f>
        <v/>
      </c>
    </row>
    <row r="790">
      <c r="P790" s="6">
        <f>IF($C790="","",IF(COUNTIF($C$2:$C790,$C790)=1,1,0))</f>
        <v/>
      </c>
    </row>
    <row r="791">
      <c r="P791" s="6">
        <f>IF($C791="","",IF(COUNTIF($C$2:$C791,$C791)=1,1,0))</f>
        <v/>
      </c>
    </row>
    <row r="792">
      <c r="P792" s="6">
        <f>IF($C792="","",IF(COUNTIF($C$2:$C792,$C792)=1,1,0))</f>
        <v/>
      </c>
    </row>
    <row r="793">
      <c r="P793" s="6">
        <f>IF($C793="","",IF(COUNTIF($C$2:$C793,$C793)=1,1,0))</f>
        <v/>
      </c>
    </row>
    <row r="794">
      <c r="P794" s="6">
        <f>IF($C794="","",IF(COUNTIF($C$2:$C794,$C794)=1,1,0))</f>
        <v/>
      </c>
    </row>
    <row r="795">
      <c r="P795" s="6">
        <f>IF($C795="","",IF(COUNTIF($C$2:$C795,$C795)=1,1,0))</f>
        <v/>
      </c>
    </row>
    <row r="796">
      <c r="P796" s="6">
        <f>IF($C796="","",IF(COUNTIF($C$2:$C796,$C796)=1,1,0))</f>
        <v/>
      </c>
    </row>
    <row r="797">
      <c r="P797" s="6">
        <f>IF($C797="","",IF(COUNTIF($C$2:$C797,$C797)=1,1,0))</f>
        <v/>
      </c>
    </row>
    <row r="798">
      <c r="P798" s="6">
        <f>IF($C798="","",IF(COUNTIF($C$2:$C798,$C798)=1,1,0))</f>
        <v/>
      </c>
    </row>
    <row r="799">
      <c r="P799" s="6">
        <f>IF($C799="","",IF(COUNTIF($C$2:$C799,$C799)=1,1,0))</f>
        <v/>
      </c>
    </row>
    <row r="800">
      <c r="P800" s="6">
        <f>IF($C800="","",IF(COUNTIF($C$2:$C800,$C800)=1,1,0))</f>
        <v/>
      </c>
    </row>
    <row r="801">
      <c r="P801" s="6">
        <f>IF($C801="","",IF(COUNTIF($C$2:$C801,$C801)=1,1,0))</f>
        <v/>
      </c>
    </row>
    <row r="802">
      <c r="P802" s="6">
        <f>IF($C802="","",IF(COUNTIF($C$2:$C802,$C802)=1,1,0))</f>
        <v/>
      </c>
    </row>
    <row r="803">
      <c r="P803" s="6">
        <f>IF($C803="","",IF(COUNTIF($C$2:$C803,$C803)=1,1,0))</f>
        <v/>
      </c>
    </row>
    <row r="804">
      <c r="P804" s="6">
        <f>IF($C804="","",IF(COUNTIF($C$2:$C804,$C804)=1,1,0))</f>
        <v/>
      </c>
    </row>
    <row r="805">
      <c r="P805" s="6">
        <f>IF($C805="","",IF(COUNTIF($C$2:$C805,$C805)=1,1,0))</f>
        <v/>
      </c>
    </row>
    <row r="806">
      <c r="P806" s="6">
        <f>IF($C806="","",IF(COUNTIF($C$2:$C806,$C806)=1,1,0))</f>
        <v/>
      </c>
    </row>
    <row r="807">
      <c r="P807" s="6">
        <f>IF($C807="","",IF(COUNTIF($C$2:$C807,$C807)=1,1,0))</f>
        <v/>
      </c>
    </row>
    <row r="808">
      <c r="P808" s="6">
        <f>IF($C808="","",IF(COUNTIF($C$2:$C808,$C808)=1,1,0))</f>
        <v/>
      </c>
    </row>
    <row r="809">
      <c r="P809" s="6">
        <f>IF($C809="","",IF(COUNTIF($C$2:$C809,$C809)=1,1,0))</f>
        <v/>
      </c>
    </row>
    <row r="810">
      <c r="P810" s="6">
        <f>IF($C810="","",IF(COUNTIF($C$2:$C810,$C810)=1,1,0))</f>
        <v/>
      </c>
    </row>
    <row r="811">
      <c r="P811" s="6">
        <f>IF($C811="","",IF(COUNTIF($C$2:$C811,$C811)=1,1,0))</f>
        <v/>
      </c>
    </row>
    <row r="812">
      <c r="P812" s="6">
        <f>IF($C812="","",IF(COUNTIF($C$2:$C812,$C812)=1,1,0))</f>
        <v/>
      </c>
    </row>
    <row r="813">
      <c r="P813" s="6">
        <f>IF($C813="","",IF(COUNTIF($C$2:$C813,$C813)=1,1,0))</f>
        <v/>
      </c>
    </row>
    <row r="814">
      <c r="P814" s="6">
        <f>IF($C814="","",IF(COUNTIF($C$2:$C814,$C814)=1,1,0))</f>
        <v/>
      </c>
    </row>
    <row r="815">
      <c r="P815" s="6">
        <f>IF($C815="","",IF(COUNTIF($C$2:$C815,$C815)=1,1,0))</f>
        <v/>
      </c>
    </row>
    <row r="816">
      <c r="P816" s="6">
        <f>IF($C816="","",IF(COUNTIF($C$2:$C816,$C816)=1,1,0))</f>
        <v/>
      </c>
    </row>
    <row r="817">
      <c r="P817" s="6">
        <f>IF($C817="","",IF(COUNTIF($C$2:$C817,$C817)=1,1,0))</f>
        <v/>
      </c>
    </row>
    <row r="818">
      <c r="P818" s="6">
        <f>IF($C818="","",IF(COUNTIF($C$2:$C818,$C818)=1,1,0))</f>
        <v/>
      </c>
    </row>
    <row r="819">
      <c r="P819" s="6">
        <f>IF($C819="","",IF(COUNTIF($C$2:$C819,$C819)=1,1,0))</f>
        <v/>
      </c>
    </row>
    <row r="820">
      <c r="P820" s="6">
        <f>IF($C820="","",IF(COUNTIF($C$2:$C820,$C820)=1,1,0))</f>
        <v/>
      </c>
    </row>
    <row r="821">
      <c r="P821" s="6">
        <f>IF($C821="","",IF(COUNTIF($C$2:$C821,$C821)=1,1,0))</f>
        <v/>
      </c>
    </row>
    <row r="822">
      <c r="P822" s="6">
        <f>IF($C822="","",IF(COUNTIF($C$2:$C822,$C822)=1,1,0))</f>
        <v/>
      </c>
    </row>
    <row r="823">
      <c r="P823" s="6">
        <f>IF($C823="","",IF(COUNTIF($C$2:$C823,$C823)=1,1,0))</f>
        <v/>
      </c>
    </row>
    <row r="824">
      <c r="P824" s="6">
        <f>IF($C824="","",IF(COUNTIF($C$2:$C824,$C824)=1,1,0))</f>
        <v/>
      </c>
    </row>
    <row r="825">
      <c r="P825" s="6">
        <f>IF($C825="","",IF(COUNTIF($C$2:$C825,$C825)=1,1,0))</f>
        <v/>
      </c>
    </row>
    <row r="826">
      <c r="P826" s="6">
        <f>IF($C826="","",IF(COUNTIF($C$2:$C826,$C826)=1,1,0))</f>
        <v/>
      </c>
    </row>
    <row r="827">
      <c r="P827" s="6">
        <f>IF($C827="","",IF(COUNTIF($C$2:$C827,$C827)=1,1,0))</f>
        <v/>
      </c>
    </row>
    <row r="828">
      <c r="P828" s="6">
        <f>IF($C828="","",IF(COUNTIF($C$2:$C828,$C828)=1,1,0))</f>
        <v/>
      </c>
    </row>
    <row r="829">
      <c r="P829" s="6">
        <f>IF($C829="","",IF(COUNTIF($C$2:$C829,$C829)=1,1,0))</f>
        <v/>
      </c>
    </row>
    <row r="830">
      <c r="P830" s="6">
        <f>IF($C830="","",IF(COUNTIF($C$2:$C830,$C830)=1,1,0))</f>
        <v/>
      </c>
    </row>
    <row r="831">
      <c r="P831" s="6">
        <f>IF($C831="","",IF(COUNTIF($C$2:$C831,$C831)=1,1,0))</f>
        <v/>
      </c>
    </row>
    <row r="832">
      <c r="P832" s="6">
        <f>IF($C832="","",IF(COUNTIF($C$2:$C832,$C832)=1,1,0))</f>
        <v/>
      </c>
    </row>
    <row r="833">
      <c r="P833" s="6">
        <f>IF($C833="","",IF(COUNTIF($C$2:$C833,$C833)=1,1,0))</f>
        <v/>
      </c>
    </row>
    <row r="834">
      <c r="P834" s="6">
        <f>IF($C834="","",IF(COUNTIF($C$2:$C834,$C834)=1,1,0))</f>
        <v/>
      </c>
    </row>
    <row r="835">
      <c r="P835" s="6">
        <f>IF($C835="","",IF(COUNTIF($C$2:$C835,$C835)=1,1,0))</f>
        <v/>
      </c>
    </row>
    <row r="836">
      <c r="P836" s="6">
        <f>IF($C836="","",IF(COUNTIF($C$2:$C836,$C836)=1,1,0))</f>
        <v/>
      </c>
    </row>
    <row r="837">
      <c r="P837" s="6">
        <f>IF($C837="","",IF(COUNTIF($C$2:$C837,$C837)=1,1,0))</f>
        <v/>
      </c>
    </row>
    <row r="838">
      <c r="P838" s="6">
        <f>IF($C838="","",IF(COUNTIF($C$2:$C838,$C838)=1,1,0))</f>
        <v/>
      </c>
    </row>
    <row r="839">
      <c r="P839" s="6">
        <f>IF($C839="","",IF(COUNTIF($C$2:$C839,$C839)=1,1,0))</f>
        <v/>
      </c>
    </row>
    <row r="840">
      <c r="P840" s="6">
        <f>IF($C840="","",IF(COUNTIF($C$2:$C840,$C840)=1,1,0))</f>
        <v/>
      </c>
    </row>
    <row r="841">
      <c r="P841" s="6">
        <f>IF($C841="","",IF(COUNTIF($C$2:$C841,$C841)=1,1,0))</f>
        <v/>
      </c>
    </row>
    <row r="842">
      <c r="P842" s="6">
        <f>IF($C842="","",IF(COUNTIF($C$2:$C842,$C842)=1,1,0))</f>
        <v/>
      </c>
    </row>
    <row r="843">
      <c r="P843" s="6">
        <f>IF($C843="","",IF(COUNTIF($C$2:$C843,$C843)=1,1,0))</f>
        <v/>
      </c>
    </row>
    <row r="844">
      <c r="P844" s="6">
        <f>IF($C844="","",IF(COUNTIF($C$2:$C844,$C844)=1,1,0))</f>
        <v/>
      </c>
    </row>
    <row r="845">
      <c r="P845" s="6">
        <f>IF($C845="","",IF(COUNTIF($C$2:$C845,$C845)=1,1,0))</f>
        <v/>
      </c>
    </row>
    <row r="846">
      <c r="P846" s="6">
        <f>IF($C846="","",IF(COUNTIF($C$2:$C846,$C846)=1,1,0))</f>
        <v/>
      </c>
    </row>
    <row r="847">
      <c r="P847" s="6">
        <f>IF($C847="","",IF(COUNTIF($C$2:$C847,$C847)=1,1,0))</f>
        <v/>
      </c>
    </row>
    <row r="848">
      <c r="P848" s="6">
        <f>IF($C848="","",IF(COUNTIF($C$2:$C848,$C848)=1,1,0))</f>
        <v/>
      </c>
    </row>
    <row r="849">
      <c r="P849" s="6">
        <f>IF($C849="","",IF(COUNTIF($C$2:$C849,$C849)=1,1,0))</f>
        <v/>
      </c>
    </row>
    <row r="850">
      <c r="P850" s="6">
        <f>IF($C850="","",IF(COUNTIF($C$2:$C850,$C850)=1,1,0))</f>
        <v/>
      </c>
    </row>
    <row r="851">
      <c r="P851" s="6">
        <f>IF($C851="","",IF(COUNTIF($C$2:$C851,$C851)=1,1,0))</f>
        <v/>
      </c>
    </row>
    <row r="852">
      <c r="P852" s="6">
        <f>IF($C852="","",IF(COUNTIF($C$2:$C852,$C852)=1,1,0))</f>
        <v/>
      </c>
    </row>
    <row r="853">
      <c r="P853" s="6">
        <f>IF($C853="","",IF(COUNTIF($C$2:$C853,$C853)=1,1,0))</f>
        <v/>
      </c>
    </row>
    <row r="854">
      <c r="P854" s="6">
        <f>IF($C854="","",IF(COUNTIF($C$2:$C854,$C854)=1,1,0))</f>
        <v/>
      </c>
    </row>
    <row r="855">
      <c r="P855" s="6">
        <f>IF($C855="","",IF(COUNTIF($C$2:$C855,$C855)=1,1,0))</f>
        <v/>
      </c>
    </row>
    <row r="856">
      <c r="P856" s="6">
        <f>IF($C856="","",IF(COUNTIF($C$2:$C856,$C856)=1,1,0))</f>
        <v/>
      </c>
    </row>
    <row r="857">
      <c r="P857" s="6">
        <f>IF($C857="","",IF(COUNTIF($C$2:$C857,$C857)=1,1,0))</f>
        <v/>
      </c>
    </row>
    <row r="858">
      <c r="P858" s="6">
        <f>IF($C858="","",IF(COUNTIF($C$2:$C858,$C858)=1,1,0))</f>
        <v/>
      </c>
    </row>
    <row r="859">
      <c r="P859" s="6">
        <f>IF($C859="","",IF(COUNTIF($C$2:$C859,$C859)=1,1,0))</f>
        <v/>
      </c>
    </row>
    <row r="860">
      <c r="P860" s="6">
        <f>IF($C860="","",IF(COUNTIF($C$2:$C860,$C860)=1,1,0))</f>
        <v/>
      </c>
    </row>
    <row r="861">
      <c r="P861" s="6">
        <f>IF($C861="","",IF(COUNTIF($C$2:$C861,$C861)=1,1,0))</f>
        <v/>
      </c>
    </row>
    <row r="862">
      <c r="P862" s="6">
        <f>IF($C862="","",IF(COUNTIF($C$2:$C862,$C862)=1,1,0))</f>
        <v/>
      </c>
    </row>
    <row r="863">
      <c r="P863" s="6">
        <f>IF($C863="","",IF(COUNTIF($C$2:$C863,$C863)=1,1,0))</f>
        <v/>
      </c>
    </row>
    <row r="864">
      <c r="P864" s="6">
        <f>IF($C864="","",IF(COUNTIF($C$2:$C864,$C864)=1,1,0))</f>
        <v/>
      </c>
    </row>
    <row r="865">
      <c r="P865" s="6">
        <f>IF($C865="","",IF(COUNTIF($C$2:$C865,$C865)=1,1,0))</f>
        <v/>
      </c>
    </row>
    <row r="866">
      <c r="P866" s="6">
        <f>IF($C866="","",IF(COUNTIF($C$2:$C866,$C866)=1,1,0))</f>
        <v/>
      </c>
    </row>
    <row r="867">
      <c r="P867" s="6">
        <f>IF($C867="","",IF(COUNTIF($C$2:$C867,$C867)=1,1,0))</f>
        <v/>
      </c>
    </row>
    <row r="868">
      <c r="P868" s="6">
        <f>IF($C868="","",IF(COUNTIF($C$2:$C868,$C868)=1,1,0))</f>
        <v/>
      </c>
    </row>
    <row r="869">
      <c r="P869" s="6">
        <f>IF($C869="","",IF(COUNTIF($C$2:$C869,$C869)=1,1,0))</f>
        <v/>
      </c>
    </row>
    <row r="870">
      <c r="P870" s="6">
        <f>IF($C870="","",IF(COUNTIF($C$2:$C870,$C870)=1,1,0))</f>
        <v/>
      </c>
    </row>
    <row r="871">
      <c r="P871" s="6">
        <f>IF($C871="","",IF(COUNTIF($C$2:$C871,$C871)=1,1,0))</f>
        <v/>
      </c>
    </row>
    <row r="872">
      <c r="P872" s="6">
        <f>IF($C872="","",IF(COUNTIF($C$2:$C872,$C872)=1,1,0))</f>
        <v/>
      </c>
    </row>
    <row r="873">
      <c r="P873" s="6">
        <f>IF($C873="","",IF(COUNTIF($C$2:$C873,$C873)=1,1,0))</f>
        <v/>
      </c>
    </row>
    <row r="874">
      <c r="P874" s="6">
        <f>IF($C874="","",IF(COUNTIF($C$2:$C874,$C874)=1,1,0))</f>
        <v/>
      </c>
    </row>
    <row r="875">
      <c r="P875" s="6">
        <f>IF($C875="","",IF(COUNTIF($C$2:$C875,$C875)=1,1,0))</f>
        <v/>
      </c>
    </row>
    <row r="876">
      <c r="P876" s="6">
        <f>IF($C876="","",IF(COUNTIF($C$2:$C876,$C876)=1,1,0))</f>
        <v/>
      </c>
    </row>
    <row r="877">
      <c r="P877" s="6">
        <f>IF($C877="","",IF(COUNTIF($C$2:$C877,$C877)=1,1,0))</f>
        <v/>
      </c>
    </row>
    <row r="878">
      <c r="P878" s="6">
        <f>IF($C878="","",IF(COUNTIF($C$2:$C878,$C878)=1,1,0))</f>
        <v/>
      </c>
    </row>
    <row r="879">
      <c r="P879" s="6">
        <f>IF($C879="","",IF(COUNTIF($C$2:$C879,$C879)=1,1,0))</f>
        <v/>
      </c>
    </row>
    <row r="880">
      <c r="P880" s="6">
        <f>IF($C880="","",IF(COUNTIF($C$2:$C880,$C880)=1,1,0))</f>
        <v/>
      </c>
    </row>
    <row r="881">
      <c r="P881" s="6">
        <f>IF($C881="","",IF(COUNTIF($C$2:$C881,$C881)=1,1,0))</f>
        <v/>
      </c>
    </row>
    <row r="882">
      <c r="P882" s="6">
        <f>IF($C882="","",IF(COUNTIF($C$2:$C882,$C882)=1,1,0))</f>
        <v/>
      </c>
    </row>
    <row r="883">
      <c r="P883" s="6">
        <f>IF($C883="","",IF(COUNTIF($C$2:$C883,$C883)=1,1,0))</f>
        <v/>
      </c>
    </row>
    <row r="884">
      <c r="P884" s="6">
        <f>IF($C884="","",IF(COUNTIF($C$2:$C884,$C884)=1,1,0))</f>
        <v/>
      </c>
    </row>
    <row r="885">
      <c r="P885" s="6">
        <f>IF($C885="","",IF(COUNTIF($C$2:$C885,$C885)=1,1,0))</f>
        <v/>
      </c>
    </row>
    <row r="886">
      <c r="P886" s="6">
        <f>IF($C886="","",IF(COUNTIF($C$2:$C886,$C886)=1,1,0))</f>
        <v/>
      </c>
    </row>
    <row r="887">
      <c r="P887" s="6">
        <f>IF($C887="","",IF(COUNTIF($C$2:$C887,$C887)=1,1,0))</f>
        <v/>
      </c>
    </row>
    <row r="888">
      <c r="P888" s="6">
        <f>IF($C888="","",IF(COUNTIF($C$2:$C888,$C888)=1,1,0))</f>
        <v/>
      </c>
    </row>
    <row r="889">
      <c r="P889" s="6">
        <f>IF($C889="","",IF(COUNTIF($C$2:$C889,$C889)=1,1,0))</f>
        <v/>
      </c>
    </row>
    <row r="890">
      <c r="P890" s="6">
        <f>IF($C890="","",IF(COUNTIF($C$2:$C890,$C890)=1,1,0))</f>
        <v/>
      </c>
    </row>
    <row r="891">
      <c r="P891" s="6">
        <f>IF($C891="","",IF(COUNTIF($C$2:$C891,$C891)=1,1,0))</f>
        <v/>
      </c>
    </row>
    <row r="892">
      <c r="P892" s="6">
        <f>IF($C892="","",IF(COUNTIF($C$2:$C892,$C892)=1,1,0))</f>
        <v/>
      </c>
    </row>
    <row r="893">
      <c r="P893" s="6">
        <f>IF($C893="","",IF(COUNTIF($C$2:$C893,$C893)=1,1,0))</f>
        <v/>
      </c>
    </row>
    <row r="894">
      <c r="P894" s="6">
        <f>IF($C894="","",IF(COUNTIF($C$2:$C894,$C894)=1,1,0))</f>
        <v/>
      </c>
    </row>
    <row r="895">
      <c r="P895" s="6">
        <f>IF($C895="","",IF(COUNTIF($C$2:$C895,$C895)=1,1,0))</f>
        <v/>
      </c>
    </row>
    <row r="896">
      <c r="P896" s="6">
        <f>IF($C896="","",IF(COUNTIF($C$2:$C896,$C896)=1,1,0))</f>
        <v/>
      </c>
    </row>
    <row r="897">
      <c r="P897" s="6">
        <f>IF($C897="","",IF(COUNTIF($C$2:$C897,$C897)=1,1,0))</f>
        <v/>
      </c>
    </row>
    <row r="898">
      <c r="P898" s="6">
        <f>IF($C898="","",IF(COUNTIF($C$2:$C898,$C898)=1,1,0))</f>
        <v/>
      </c>
    </row>
    <row r="899">
      <c r="P899" s="6">
        <f>IF($C899="","",IF(COUNTIF($C$2:$C899,$C899)=1,1,0))</f>
        <v/>
      </c>
    </row>
    <row r="900">
      <c r="P900" s="6">
        <f>IF($C900="","",IF(COUNTIF($C$2:$C900,$C900)=1,1,0))</f>
        <v/>
      </c>
    </row>
    <row r="901">
      <c r="P901" s="6">
        <f>IF($C901="","",IF(COUNTIF($C$2:$C901,$C901)=1,1,0))</f>
        <v/>
      </c>
    </row>
    <row r="902">
      <c r="P902" s="6">
        <f>IF($C902="","",IF(COUNTIF($C$2:$C902,$C902)=1,1,0))</f>
        <v/>
      </c>
    </row>
    <row r="903">
      <c r="P903" s="6">
        <f>IF($C903="","",IF(COUNTIF($C$2:$C903,$C903)=1,1,0))</f>
        <v/>
      </c>
    </row>
    <row r="904">
      <c r="P904" s="6">
        <f>IF($C904="","",IF(COUNTIF($C$2:$C904,$C904)=1,1,0))</f>
        <v/>
      </c>
    </row>
    <row r="905">
      <c r="P905" s="6">
        <f>IF($C905="","",IF(COUNTIF($C$2:$C905,$C905)=1,1,0))</f>
        <v/>
      </c>
    </row>
    <row r="906">
      <c r="P906" s="6">
        <f>IF($C906="","",IF(COUNTIF($C$2:$C906,$C906)=1,1,0))</f>
        <v/>
      </c>
    </row>
    <row r="907">
      <c r="P907" s="6">
        <f>IF($C907="","",IF(COUNTIF($C$2:$C907,$C907)=1,1,0))</f>
        <v/>
      </c>
    </row>
    <row r="908">
      <c r="P908" s="6">
        <f>IF($C908="","",IF(COUNTIF($C$2:$C908,$C908)=1,1,0))</f>
        <v/>
      </c>
    </row>
    <row r="909">
      <c r="P909" s="6">
        <f>IF($C909="","",IF(COUNTIF($C$2:$C909,$C909)=1,1,0))</f>
        <v/>
      </c>
    </row>
    <row r="910">
      <c r="P910" s="6">
        <f>IF($C910="","",IF(COUNTIF($C$2:$C910,$C910)=1,1,0))</f>
        <v/>
      </c>
    </row>
    <row r="911">
      <c r="P911" s="6">
        <f>IF($C911="","",IF(COUNTIF($C$2:$C911,$C911)=1,1,0))</f>
        <v/>
      </c>
    </row>
    <row r="912">
      <c r="P912" s="6">
        <f>IF($C912="","",IF(COUNTIF($C$2:$C912,$C912)=1,1,0))</f>
        <v/>
      </c>
    </row>
    <row r="913">
      <c r="P913" s="6">
        <f>IF($C913="","",IF(COUNTIF($C$2:$C913,$C913)=1,1,0))</f>
        <v/>
      </c>
    </row>
    <row r="914">
      <c r="P914" s="6">
        <f>IF($C914="","",IF(COUNTIF($C$2:$C914,$C914)=1,1,0))</f>
        <v/>
      </c>
    </row>
    <row r="915">
      <c r="P915" s="6">
        <f>IF($C915="","",IF(COUNTIF($C$2:$C915,$C915)=1,1,0))</f>
        <v/>
      </c>
    </row>
    <row r="916">
      <c r="P916" s="6">
        <f>IF($C916="","",IF(COUNTIF($C$2:$C916,$C916)=1,1,0))</f>
        <v/>
      </c>
    </row>
    <row r="917">
      <c r="P917" s="6">
        <f>IF($C917="","",IF(COUNTIF($C$2:$C917,$C917)=1,1,0))</f>
        <v/>
      </c>
    </row>
    <row r="918">
      <c r="P918" s="6">
        <f>IF($C918="","",IF(COUNTIF($C$2:$C918,$C918)=1,1,0))</f>
        <v/>
      </c>
    </row>
    <row r="919">
      <c r="P919" s="6">
        <f>IF($C919="","",IF(COUNTIF($C$2:$C919,$C919)=1,1,0))</f>
        <v/>
      </c>
    </row>
    <row r="920">
      <c r="P920" s="6">
        <f>IF($C920="","",IF(COUNTIF($C$2:$C920,$C920)=1,1,0))</f>
        <v/>
      </c>
    </row>
    <row r="921">
      <c r="P921" s="6">
        <f>IF($C921="","",IF(COUNTIF($C$2:$C921,$C921)=1,1,0))</f>
        <v/>
      </c>
    </row>
    <row r="922">
      <c r="P922" s="6">
        <f>IF($C922="","",IF(COUNTIF($C$2:$C922,$C922)=1,1,0))</f>
        <v/>
      </c>
    </row>
    <row r="923">
      <c r="P923" s="6">
        <f>IF($C923="","",IF(COUNTIF($C$2:$C923,$C923)=1,1,0))</f>
        <v/>
      </c>
    </row>
    <row r="924">
      <c r="P924" s="6">
        <f>IF($C924="","",IF(COUNTIF($C$2:$C924,$C924)=1,1,0))</f>
        <v/>
      </c>
    </row>
    <row r="925">
      <c r="P925" s="6">
        <f>IF($C925="","",IF(COUNTIF($C$2:$C925,$C925)=1,1,0))</f>
        <v/>
      </c>
    </row>
    <row r="926">
      <c r="P926" s="6">
        <f>IF($C926="","",IF(COUNTIF($C$2:$C926,$C926)=1,1,0))</f>
        <v/>
      </c>
    </row>
    <row r="927">
      <c r="P927" s="6">
        <f>IF($C927="","",IF(COUNTIF($C$2:$C927,$C927)=1,1,0))</f>
        <v/>
      </c>
    </row>
    <row r="928">
      <c r="P928" s="6">
        <f>IF($C928="","",IF(COUNTIF($C$2:$C928,$C928)=1,1,0))</f>
        <v/>
      </c>
    </row>
    <row r="929">
      <c r="P929" s="6">
        <f>IF($C929="","",IF(COUNTIF($C$2:$C929,$C929)=1,1,0))</f>
        <v/>
      </c>
    </row>
    <row r="930">
      <c r="P930" s="6">
        <f>IF($C930="","",IF(COUNTIF($C$2:$C930,$C930)=1,1,0))</f>
        <v/>
      </c>
    </row>
    <row r="931">
      <c r="P931" s="6">
        <f>IF($C931="","",IF(COUNTIF($C$2:$C931,$C931)=1,1,0))</f>
        <v/>
      </c>
    </row>
    <row r="932">
      <c r="P932" s="6">
        <f>IF($C932="","",IF(COUNTIF($C$2:$C932,$C932)=1,1,0))</f>
        <v/>
      </c>
    </row>
    <row r="933">
      <c r="P933" s="6">
        <f>IF($C933="","",IF(COUNTIF($C$2:$C933,$C933)=1,1,0))</f>
        <v/>
      </c>
    </row>
    <row r="934">
      <c r="P934" s="6">
        <f>IF($C934="","",IF(COUNTIF($C$2:$C934,$C934)=1,1,0))</f>
        <v/>
      </c>
    </row>
    <row r="935">
      <c r="P935" s="6">
        <f>IF($C935="","",IF(COUNTIF($C$2:$C935,$C935)=1,1,0))</f>
        <v/>
      </c>
    </row>
    <row r="936">
      <c r="P936" s="6">
        <f>IF($C936="","",IF(COUNTIF($C$2:$C936,$C936)=1,1,0))</f>
        <v/>
      </c>
    </row>
    <row r="937">
      <c r="P937" s="6">
        <f>IF($C937="","",IF(COUNTIF($C$2:$C937,$C937)=1,1,0))</f>
        <v/>
      </c>
    </row>
    <row r="938">
      <c r="P938" s="6">
        <f>IF($C938="","",IF(COUNTIF($C$2:$C938,$C938)=1,1,0))</f>
        <v/>
      </c>
    </row>
    <row r="939">
      <c r="P939" s="6">
        <f>IF($C939="","",IF(COUNTIF($C$2:$C939,$C939)=1,1,0))</f>
        <v/>
      </c>
    </row>
    <row r="940">
      <c r="P940" s="6">
        <f>IF($C940="","",IF(COUNTIF($C$2:$C940,$C940)=1,1,0))</f>
        <v/>
      </c>
    </row>
    <row r="941">
      <c r="P941" s="6">
        <f>IF($C941="","",IF(COUNTIF($C$2:$C941,$C941)=1,1,0))</f>
        <v/>
      </c>
    </row>
    <row r="942">
      <c r="P942" s="6">
        <f>IF($C942="","",IF(COUNTIF($C$2:$C942,$C942)=1,1,0))</f>
        <v/>
      </c>
    </row>
    <row r="943">
      <c r="P943" s="6">
        <f>IF($C943="","",IF(COUNTIF($C$2:$C943,$C943)=1,1,0))</f>
        <v/>
      </c>
    </row>
    <row r="944">
      <c r="P944" s="6">
        <f>IF($C944="","",IF(COUNTIF($C$2:$C944,$C944)=1,1,0))</f>
        <v/>
      </c>
    </row>
    <row r="945">
      <c r="P945" s="6">
        <f>IF($C945="","",IF(COUNTIF($C$2:$C945,$C945)=1,1,0))</f>
        <v/>
      </c>
    </row>
    <row r="946">
      <c r="P946" s="6">
        <f>IF($C946="","",IF(COUNTIF($C$2:$C946,$C946)=1,1,0))</f>
        <v/>
      </c>
    </row>
    <row r="947">
      <c r="P947" s="6">
        <f>IF($C947="","",IF(COUNTIF($C$2:$C947,$C947)=1,1,0))</f>
        <v/>
      </c>
    </row>
    <row r="948">
      <c r="P948" s="6">
        <f>IF($C948="","",IF(COUNTIF($C$2:$C948,$C948)=1,1,0))</f>
        <v/>
      </c>
    </row>
    <row r="949">
      <c r="P949" s="6">
        <f>IF($C949="","",IF(COUNTIF($C$2:$C949,$C949)=1,1,0))</f>
        <v/>
      </c>
    </row>
    <row r="950">
      <c r="P950" s="6">
        <f>IF($C950="","",IF(COUNTIF($C$2:$C950,$C950)=1,1,0))</f>
        <v/>
      </c>
    </row>
    <row r="951">
      <c r="P951" s="6">
        <f>IF($C951="","",IF(COUNTIF($C$2:$C951,$C951)=1,1,0))</f>
        <v/>
      </c>
    </row>
    <row r="952">
      <c r="P952" s="6">
        <f>IF($C952="","",IF(COUNTIF($C$2:$C952,$C952)=1,1,0))</f>
        <v/>
      </c>
    </row>
    <row r="953">
      <c r="P953" s="6">
        <f>IF($C953="","",IF(COUNTIF($C$2:$C953,$C953)=1,1,0))</f>
        <v/>
      </c>
    </row>
    <row r="954">
      <c r="P954" s="6">
        <f>IF($C954="","",IF(COUNTIF($C$2:$C954,$C954)=1,1,0))</f>
        <v/>
      </c>
    </row>
    <row r="955">
      <c r="P955" s="6">
        <f>IF($C955="","",IF(COUNTIF($C$2:$C955,$C955)=1,1,0))</f>
        <v/>
      </c>
    </row>
    <row r="956">
      <c r="P956" s="6">
        <f>IF($C956="","",IF(COUNTIF($C$2:$C956,$C956)=1,1,0))</f>
        <v/>
      </c>
    </row>
    <row r="957">
      <c r="P957" s="6">
        <f>IF($C957="","",IF(COUNTIF($C$2:$C957,$C957)=1,1,0))</f>
        <v/>
      </c>
    </row>
    <row r="958">
      <c r="P958" s="6">
        <f>IF($C958="","",IF(COUNTIF($C$2:$C958,$C958)=1,1,0))</f>
        <v/>
      </c>
    </row>
    <row r="959">
      <c r="P959" s="6">
        <f>IF($C959="","",IF(COUNTIF($C$2:$C959,$C959)=1,1,0))</f>
        <v/>
      </c>
    </row>
    <row r="960">
      <c r="P960" s="6">
        <f>IF($C960="","",IF(COUNTIF($C$2:$C960,$C960)=1,1,0))</f>
        <v/>
      </c>
    </row>
    <row r="961">
      <c r="P961" s="6">
        <f>IF($C961="","",IF(COUNTIF($C$2:$C961,$C961)=1,1,0))</f>
        <v/>
      </c>
    </row>
    <row r="962">
      <c r="P962" s="6">
        <f>IF($C962="","",IF(COUNTIF($C$2:$C962,$C962)=1,1,0))</f>
        <v/>
      </c>
    </row>
    <row r="963">
      <c r="P963" s="6">
        <f>IF($C963="","",IF(COUNTIF($C$2:$C963,$C963)=1,1,0))</f>
        <v/>
      </c>
    </row>
    <row r="964">
      <c r="P964" s="6">
        <f>IF($C964="","",IF(COUNTIF($C$2:$C964,$C964)=1,1,0))</f>
        <v/>
      </c>
    </row>
    <row r="965">
      <c r="P965" s="6">
        <f>IF($C965="","",IF(COUNTIF($C$2:$C965,$C965)=1,1,0))</f>
        <v/>
      </c>
    </row>
    <row r="966">
      <c r="P966" s="6">
        <f>IF($C966="","",IF(COUNTIF($C$2:$C966,$C966)=1,1,0))</f>
        <v/>
      </c>
    </row>
    <row r="967">
      <c r="P967" s="6">
        <f>IF($C967="","",IF(COUNTIF($C$2:$C967,$C967)=1,1,0))</f>
        <v/>
      </c>
    </row>
    <row r="968">
      <c r="P968" s="6">
        <f>IF($C968="","",IF(COUNTIF($C$2:$C968,$C968)=1,1,0))</f>
        <v/>
      </c>
    </row>
    <row r="969">
      <c r="P969" s="6">
        <f>IF($C969="","",IF(COUNTIF($C$2:$C969,$C969)=1,1,0))</f>
        <v/>
      </c>
    </row>
    <row r="970">
      <c r="P970" s="6">
        <f>IF($C970="","",IF(COUNTIF($C$2:$C970,$C970)=1,1,0))</f>
        <v/>
      </c>
    </row>
    <row r="971">
      <c r="P971" s="6">
        <f>IF($C971="","",IF(COUNTIF($C$2:$C971,$C971)=1,1,0))</f>
        <v/>
      </c>
    </row>
    <row r="972">
      <c r="P972" s="6">
        <f>IF($C972="","",IF(COUNTIF($C$2:$C972,$C972)=1,1,0))</f>
        <v/>
      </c>
    </row>
    <row r="973">
      <c r="P973" s="6">
        <f>IF($C973="","",IF(COUNTIF($C$2:$C973,$C973)=1,1,0))</f>
        <v/>
      </c>
    </row>
    <row r="974">
      <c r="P974" s="6">
        <f>IF($C974="","",IF(COUNTIF($C$2:$C974,$C974)=1,1,0))</f>
        <v/>
      </c>
    </row>
    <row r="975">
      <c r="P975" s="6">
        <f>IF($C975="","",IF(COUNTIF($C$2:$C975,$C975)=1,1,0))</f>
        <v/>
      </c>
    </row>
    <row r="976">
      <c r="P976" s="6">
        <f>IF($C976="","",IF(COUNTIF($C$2:$C976,$C976)=1,1,0))</f>
        <v/>
      </c>
    </row>
    <row r="977">
      <c r="P977" s="6">
        <f>IF($C977="","",IF(COUNTIF($C$2:$C977,$C977)=1,1,0))</f>
        <v/>
      </c>
    </row>
    <row r="978">
      <c r="P978" s="6">
        <f>IF($C978="","",IF(COUNTIF($C$2:$C978,$C978)=1,1,0))</f>
        <v/>
      </c>
    </row>
    <row r="979">
      <c r="P979" s="6">
        <f>IF($C979="","",IF(COUNTIF($C$2:$C979,$C979)=1,1,0))</f>
        <v/>
      </c>
    </row>
    <row r="980">
      <c r="P980" s="6">
        <f>IF($C980="","",IF(COUNTIF($C$2:$C980,$C980)=1,1,0))</f>
        <v/>
      </c>
    </row>
    <row r="981">
      <c r="P981" s="6">
        <f>IF($C981="","",IF(COUNTIF($C$2:$C981,$C981)=1,1,0))</f>
        <v/>
      </c>
    </row>
    <row r="982">
      <c r="P982" s="6">
        <f>IF($C982="","",IF(COUNTIF($C$2:$C982,$C982)=1,1,0))</f>
        <v/>
      </c>
    </row>
    <row r="983">
      <c r="P983" s="6">
        <f>IF($C983="","",IF(COUNTIF($C$2:$C983,$C983)=1,1,0))</f>
        <v/>
      </c>
    </row>
    <row r="984">
      <c r="P984" s="6">
        <f>IF($C984="","",IF(COUNTIF($C$2:$C984,$C984)=1,1,0))</f>
        <v/>
      </c>
    </row>
    <row r="985">
      <c r="P985" s="6">
        <f>IF($C985="","",IF(COUNTIF($C$2:$C985,$C985)=1,1,0))</f>
        <v/>
      </c>
    </row>
    <row r="986">
      <c r="P986" s="6">
        <f>IF($C986="","",IF(COUNTIF($C$2:$C986,$C986)=1,1,0))</f>
        <v/>
      </c>
    </row>
    <row r="987">
      <c r="P987" s="6">
        <f>IF($C987="","",IF(COUNTIF($C$2:$C987,$C987)=1,1,0))</f>
        <v/>
      </c>
    </row>
    <row r="988">
      <c r="P988" s="6">
        <f>IF($C988="","",IF(COUNTIF($C$2:$C988,$C988)=1,1,0))</f>
        <v/>
      </c>
    </row>
    <row r="989">
      <c r="P989" s="6">
        <f>IF($C989="","",IF(COUNTIF($C$2:$C989,$C989)=1,1,0))</f>
        <v/>
      </c>
    </row>
    <row r="990">
      <c r="P990" s="6">
        <f>IF($C990="","",IF(COUNTIF($C$2:$C990,$C990)=1,1,0))</f>
        <v/>
      </c>
    </row>
    <row r="991">
      <c r="P991" s="6">
        <f>IF($C991="","",IF(COUNTIF($C$2:$C991,$C991)=1,1,0))</f>
        <v/>
      </c>
    </row>
    <row r="992">
      <c r="P992" s="6">
        <f>IF($C992="","",IF(COUNTIF($C$2:$C992,$C992)=1,1,0))</f>
        <v/>
      </c>
    </row>
    <row r="993">
      <c r="P993" s="6">
        <f>IF($C993="","",IF(COUNTIF($C$2:$C993,$C993)=1,1,0))</f>
        <v/>
      </c>
    </row>
    <row r="994">
      <c r="P994" s="6">
        <f>IF($C994="","",IF(COUNTIF($C$2:$C994,$C994)=1,1,0))</f>
        <v/>
      </c>
    </row>
    <row r="995">
      <c r="P995" s="6">
        <f>IF($C995="","",IF(COUNTIF($C$2:$C995,$C995)=1,1,0))</f>
        <v/>
      </c>
    </row>
    <row r="996">
      <c r="P996" s="6">
        <f>IF($C996="","",IF(COUNTIF($C$2:$C996,$C996)=1,1,0))</f>
        <v/>
      </c>
    </row>
    <row r="997">
      <c r="P997" s="6">
        <f>IF($C997="","",IF(COUNTIF($C$2:$C997,$C997)=1,1,0))</f>
        <v/>
      </c>
    </row>
    <row r="998">
      <c r="P998" s="6">
        <f>IF($C998="","",IF(COUNTIF($C$2:$C998,$C998)=1,1,0))</f>
        <v/>
      </c>
    </row>
    <row r="999">
      <c r="P999" s="6">
        <f>IF($C999="","",IF(COUNTIF($C$2:$C999,$C999)=1,1,0))</f>
        <v/>
      </c>
    </row>
    <row r="1000">
      <c r="P1000" s="6">
        <f>IF($C1000="","",IF(COUNTIF($C$2:$C1000,$C1000)=1,1,0))</f>
        <v/>
      </c>
    </row>
    <row r="1001">
      <c r="P1001" s="6">
        <f>IF($C1001="","",IF(COUNTIF($C$2:$C1001,$C1001)=1,1,0))</f>
        <v/>
      </c>
    </row>
    <row r="1002">
      <c r="P1002" s="6">
        <f>IF($C1002="","",IF(COUNTIF($C$2:$C1002,$C1002)=1,1,0))</f>
        <v/>
      </c>
    </row>
    <row r="1003">
      <c r="P1003" s="6">
        <f>IF($C1003="","",IF(COUNTIF($C$2:$C1003,$C1003)=1,1,0))</f>
        <v/>
      </c>
    </row>
    <row r="1004">
      <c r="P1004" s="6">
        <f>IF($C1004="","",IF(COUNTIF($C$2:$C1004,$C1004)=1,1,0))</f>
        <v/>
      </c>
    </row>
    <row r="1005">
      <c r="P1005" s="6">
        <f>IF($C1005="","",IF(COUNTIF($C$2:$C1005,$C1005)=1,1,0))</f>
        <v/>
      </c>
    </row>
    <row r="1006">
      <c r="P1006" s="6">
        <f>IF($C1006="","",IF(COUNTIF($C$2:$C1006,$C1006)=1,1,0))</f>
        <v/>
      </c>
    </row>
    <row r="1007">
      <c r="P1007" s="6">
        <f>IF($C1007="","",IF(COUNTIF($C$2:$C1007,$C1007)=1,1,0))</f>
        <v/>
      </c>
    </row>
    <row r="1008">
      <c r="P1008" s="6">
        <f>IF($C1008="","",IF(COUNTIF($C$2:$C1008,$C1008)=1,1,0))</f>
        <v/>
      </c>
    </row>
    <row r="1009">
      <c r="P1009" s="6">
        <f>IF($C1009="","",IF(COUNTIF($C$2:$C1009,$C1009)=1,1,0))</f>
        <v/>
      </c>
    </row>
    <row r="1010">
      <c r="P1010" s="6">
        <f>IF($C1010="","",IF(COUNTIF($C$2:$C1010,$C1010)=1,1,0))</f>
        <v/>
      </c>
    </row>
    <row r="1011">
      <c r="P1011" s="6">
        <f>IF($C1011="","",IF(COUNTIF($C$2:$C1011,$C1011)=1,1,0))</f>
        <v/>
      </c>
    </row>
    <row r="1012">
      <c r="P1012" s="6">
        <f>IF($C1012="","",IF(COUNTIF($C$2:$C1012,$C1012)=1,1,0))</f>
        <v/>
      </c>
    </row>
    <row r="1013">
      <c r="P1013" s="6">
        <f>IF($C1013="","",IF(COUNTIF($C$2:$C1013,$C1013)=1,1,0))</f>
        <v/>
      </c>
    </row>
    <row r="1014">
      <c r="P1014" s="6">
        <f>IF($C1014="","",IF(COUNTIF($C$2:$C1014,$C1014)=1,1,0))</f>
        <v/>
      </c>
    </row>
    <row r="1015">
      <c r="P1015" s="6">
        <f>IF($C1015="","",IF(COUNTIF($C$2:$C1015,$C1015)=1,1,0))</f>
        <v/>
      </c>
    </row>
    <row r="1016">
      <c r="P1016" s="6">
        <f>IF($C1016="","",IF(COUNTIF($C$2:$C1016,$C1016)=1,1,0))</f>
        <v/>
      </c>
    </row>
    <row r="1017">
      <c r="P1017" s="6">
        <f>IF($C1017="","",IF(COUNTIF($C$2:$C1017,$C1017)=1,1,0))</f>
        <v/>
      </c>
    </row>
    <row r="1018">
      <c r="P1018" s="6">
        <f>IF($C1018="","",IF(COUNTIF($C$2:$C1018,$C1018)=1,1,0))</f>
        <v/>
      </c>
    </row>
    <row r="1019">
      <c r="P1019" s="6">
        <f>IF($C1019="","",IF(COUNTIF($C$2:$C1019,$C1019)=1,1,0))</f>
        <v/>
      </c>
    </row>
    <row r="1020">
      <c r="P1020" s="6">
        <f>IF($C1020="","",IF(COUNTIF($C$2:$C1020,$C1020)=1,1,0))</f>
        <v/>
      </c>
    </row>
    <row r="1021">
      <c r="P1021" s="6">
        <f>IF($C1021="","",IF(COUNTIF($C$2:$C1021,$C1021)=1,1,0))</f>
        <v/>
      </c>
    </row>
    <row r="1022">
      <c r="P1022" s="6">
        <f>IF($C1022="","",IF(COUNTIF($C$2:$C1022,$C1022)=1,1,0))</f>
        <v/>
      </c>
    </row>
    <row r="1023">
      <c r="P1023" s="6">
        <f>IF($C1023="","",IF(COUNTIF($C$2:$C1023,$C1023)=1,1,0))</f>
        <v/>
      </c>
    </row>
    <row r="1024">
      <c r="P1024" s="6">
        <f>IF($C1024="","",IF(COUNTIF($C$2:$C1024,$C1024)=1,1,0))</f>
        <v/>
      </c>
    </row>
    <row r="1025">
      <c r="P1025" s="6">
        <f>IF($C1025="","",IF(COUNTIF($C$2:$C1025,$C1025)=1,1,0))</f>
        <v/>
      </c>
    </row>
    <row r="1026">
      <c r="P1026" s="6">
        <f>IF($C1026="","",IF(COUNTIF($C$2:$C1026,$C1026)=1,1,0))</f>
        <v/>
      </c>
    </row>
    <row r="1027">
      <c r="P1027" s="6">
        <f>IF($C1027="","",IF(COUNTIF($C$2:$C1027,$C1027)=1,1,0))</f>
        <v/>
      </c>
    </row>
    <row r="1028">
      <c r="P1028" s="6">
        <f>IF($C1028="","",IF(COUNTIF($C$2:$C1028,$C1028)=1,1,0))</f>
        <v/>
      </c>
    </row>
    <row r="1029">
      <c r="P1029" s="6">
        <f>IF($C1029="","",IF(COUNTIF($C$2:$C1029,$C1029)=1,1,0))</f>
        <v/>
      </c>
    </row>
    <row r="1030">
      <c r="P1030" s="6">
        <f>IF($C1030="","",IF(COUNTIF($C$2:$C1030,$C1030)=1,1,0))</f>
        <v/>
      </c>
    </row>
    <row r="1031">
      <c r="P1031" s="6">
        <f>IF($C1031="","",IF(COUNTIF($C$2:$C1031,$C1031)=1,1,0))</f>
        <v/>
      </c>
    </row>
    <row r="1032">
      <c r="P1032" s="6">
        <f>IF($C1032="","",IF(COUNTIF($C$2:$C1032,$C1032)=1,1,0))</f>
        <v/>
      </c>
    </row>
    <row r="1033">
      <c r="P1033" s="6">
        <f>IF($C1033="","",IF(COUNTIF($C$2:$C1033,$C1033)=1,1,0))</f>
        <v/>
      </c>
    </row>
    <row r="1034">
      <c r="P1034" s="6">
        <f>IF($C1034="","",IF(COUNTIF($C$2:$C1034,$C1034)=1,1,0))</f>
        <v/>
      </c>
    </row>
    <row r="1035">
      <c r="P1035" s="6">
        <f>IF($C1035="","",IF(COUNTIF($C$2:$C1035,$C1035)=1,1,0))</f>
        <v/>
      </c>
    </row>
    <row r="1036">
      <c r="P1036" s="6">
        <f>IF($C1036="","",IF(COUNTIF($C$2:$C1036,$C1036)=1,1,0))</f>
        <v/>
      </c>
    </row>
    <row r="1037">
      <c r="P1037" s="6">
        <f>IF($C1037="","",IF(COUNTIF($C$2:$C1037,$C1037)=1,1,0))</f>
        <v/>
      </c>
    </row>
    <row r="1038">
      <c r="P1038" s="6">
        <f>IF($C1038="","",IF(COUNTIF($C$2:$C1038,$C1038)=1,1,0))</f>
        <v/>
      </c>
    </row>
    <row r="1039">
      <c r="P1039" s="6">
        <f>IF($C1039="","",IF(COUNTIF($C$2:$C1039,$C1039)=1,1,0))</f>
        <v/>
      </c>
    </row>
    <row r="1040">
      <c r="P1040" s="6">
        <f>IF($C1040="","",IF(COUNTIF($C$2:$C1040,$C1040)=1,1,0))</f>
        <v/>
      </c>
    </row>
    <row r="1041">
      <c r="P1041" s="6">
        <f>IF($C1041="","",IF(COUNTIF($C$2:$C1041,$C1041)=1,1,0))</f>
        <v/>
      </c>
    </row>
    <row r="1042">
      <c r="P1042" s="6">
        <f>IF($C1042="","",IF(COUNTIF($C$2:$C1042,$C1042)=1,1,0))</f>
        <v/>
      </c>
    </row>
    <row r="1043">
      <c r="P1043" s="6">
        <f>IF($C1043="","",IF(COUNTIF($C$2:$C1043,$C1043)=1,1,0))</f>
        <v/>
      </c>
    </row>
    <row r="1044">
      <c r="P1044" s="6">
        <f>IF($C1044="","",IF(COUNTIF($C$2:$C1044,$C1044)=1,1,0))</f>
        <v/>
      </c>
    </row>
    <row r="1045">
      <c r="P1045" s="6">
        <f>IF($C1045="","",IF(COUNTIF($C$2:$C1045,$C1045)=1,1,0))</f>
        <v/>
      </c>
    </row>
    <row r="1046">
      <c r="P1046" s="6">
        <f>IF($C1046="","",IF(COUNTIF($C$2:$C1046,$C1046)=1,1,0))</f>
        <v/>
      </c>
    </row>
    <row r="1047">
      <c r="P1047" s="6">
        <f>IF($C1047="","",IF(COUNTIF($C$2:$C1047,$C1047)=1,1,0))</f>
        <v/>
      </c>
    </row>
    <row r="1048">
      <c r="P1048" s="6">
        <f>IF($C1048="","",IF(COUNTIF($C$2:$C1048,$C1048)=1,1,0))</f>
        <v/>
      </c>
    </row>
    <row r="1049">
      <c r="P1049" s="6">
        <f>IF($C1049="","",IF(COUNTIF($C$2:$C1049,$C1049)=1,1,0))</f>
        <v/>
      </c>
    </row>
    <row r="1050">
      <c r="P1050" s="6">
        <f>IF($C1050="","",IF(COUNTIF($C$2:$C1050,$C1050)=1,1,0))</f>
        <v/>
      </c>
    </row>
    <row r="1051">
      <c r="P1051" s="6">
        <f>IF($C1051="","",IF(COUNTIF($C$2:$C1051,$C1051)=1,1,0))</f>
        <v/>
      </c>
    </row>
    <row r="1052">
      <c r="P1052" s="6">
        <f>IF($C1052="","",IF(COUNTIF($C$2:$C1052,$C1052)=1,1,0))</f>
        <v/>
      </c>
    </row>
    <row r="1053">
      <c r="P1053" s="6">
        <f>IF($C1053="","",IF(COUNTIF($C$2:$C1053,$C1053)=1,1,0))</f>
        <v/>
      </c>
    </row>
    <row r="1054">
      <c r="P1054" s="6">
        <f>IF($C1054="","",IF(COUNTIF($C$2:$C1054,$C1054)=1,1,0))</f>
        <v/>
      </c>
    </row>
    <row r="1055">
      <c r="P1055" s="6">
        <f>IF($C1055="","",IF(COUNTIF($C$2:$C1055,$C1055)=1,1,0))</f>
        <v/>
      </c>
    </row>
    <row r="1056">
      <c r="P1056" s="6">
        <f>IF($C1056="","",IF(COUNTIF($C$2:$C1056,$C1056)=1,1,0))</f>
        <v/>
      </c>
    </row>
    <row r="1057">
      <c r="P1057" s="6">
        <f>IF($C1057="","",IF(COUNTIF($C$2:$C1057,$C1057)=1,1,0))</f>
        <v/>
      </c>
    </row>
    <row r="1058">
      <c r="P1058" s="6">
        <f>IF($C1058="","",IF(COUNTIF($C$2:$C1058,$C1058)=1,1,0))</f>
        <v/>
      </c>
    </row>
    <row r="1059">
      <c r="P1059" s="6">
        <f>IF($C1059="","",IF(COUNTIF($C$2:$C1059,$C1059)=1,1,0))</f>
        <v/>
      </c>
    </row>
    <row r="1060">
      <c r="P1060" s="6">
        <f>IF($C1060="","",IF(COUNTIF($C$2:$C1060,$C1060)=1,1,0))</f>
        <v/>
      </c>
    </row>
    <row r="1061">
      <c r="P1061" s="6">
        <f>IF($C1061="","",IF(COUNTIF($C$2:$C1061,$C1061)=1,1,0))</f>
        <v/>
      </c>
    </row>
    <row r="1062">
      <c r="P1062" s="6">
        <f>IF($C1062="","",IF(COUNTIF($C$2:$C1062,$C1062)=1,1,0))</f>
        <v/>
      </c>
    </row>
    <row r="1063">
      <c r="P1063" s="6">
        <f>IF($C1063="","",IF(COUNTIF($C$2:$C1063,$C1063)=1,1,0))</f>
        <v/>
      </c>
    </row>
    <row r="1064">
      <c r="P1064" s="6">
        <f>IF($C1064="","",IF(COUNTIF($C$2:$C1064,$C1064)=1,1,0))</f>
        <v/>
      </c>
    </row>
    <row r="1065">
      <c r="P1065" s="6">
        <f>IF($C1065="","",IF(COUNTIF($C$2:$C1065,$C1065)=1,1,0))</f>
        <v/>
      </c>
    </row>
    <row r="1066">
      <c r="P1066" s="6">
        <f>IF($C1066="","",IF(COUNTIF($C$2:$C1066,$C1066)=1,1,0))</f>
        <v/>
      </c>
    </row>
    <row r="1067">
      <c r="P1067" s="6">
        <f>IF($C1067="","",IF(COUNTIF($C$2:$C1067,$C1067)=1,1,0))</f>
        <v/>
      </c>
    </row>
    <row r="1068">
      <c r="P1068" s="6">
        <f>IF($C1068="","",IF(COUNTIF($C$2:$C1068,$C1068)=1,1,0))</f>
        <v/>
      </c>
    </row>
    <row r="1069">
      <c r="P1069" s="6">
        <f>IF($C1069="","",IF(COUNTIF($C$2:$C1069,$C1069)=1,1,0))</f>
        <v/>
      </c>
    </row>
    <row r="1070">
      <c r="P1070" s="6">
        <f>IF($C1070="","",IF(COUNTIF($C$2:$C1070,$C1070)=1,1,0))</f>
        <v/>
      </c>
    </row>
    <row r="1071">
      <c r="P1071" s="6">
        <f>IF($C1071="","",IF(COUNTIF($C$2:$C1071,$C1071)=1,1,0))</f>
        <v/>
      </c>
    </row>
    <row r="1072">
      <c r="P1072" s="6">
        <f>IF($C1072="","",IF(COUNTIF($C$2:$C1072,$C1072)=1,1,0))</f>
        <v/>
      </c>
    </row>
    <row r="1073">
      <c r="P1073" s="6">
        <f>IF($C1073="","",IF(COUNTIF($C$2:$C1073,$C1073)=1,1,0))</f>
        <v/>
      </c>
    </row>
    <row r="1074">
      <c r="P1074" s="6">
        <f>IF($C1074="","",IF(COUNTIF($C$2:$C1074,$C1074)=1,1,0))</f>
        <v/>
      </c>
    </row>
    <row r="1075">
      <c r="P1075" s="6">
        <f>IF($C1075="","",IF(COUNTIF($C$2:$C1075,$C1075)=1,1,0))</f>
        <v/>
      </c>
    </row>
    <row r="1076">
      <c r="P1076" s="6">
        <f>IF($C1076="","",IF(COUNTIF($C$2:$C1076,$C1076)=1,1,0))</f>
        <v/>
      </c>
    </row>
    <row r="1077">
      <c r="P1077" s="6">
        <f>IF($C1077="","",IF(COUNTIF($C$2:$C1077,$C1077)=1,1,0))</f>
        <v/>
      </c>
    </row>
    <row r="1078">
      <c r="P1078" s="6">
        <f>IF($C1078="","",IF(COUNTIF($C$2:$C1078,$C1078)=1,1,0))</f>
        <v/>
      </c>
    </row>
    <row r="1079">
      <c r="P1079" s="6">
        <f>IF($C1079="","",IF(COUNTIF($C$2:$C1079,$C1079)=1,1,0))</f>
        <v/>
      </c>
    </row>
    <row r="1080">
      <c r="P1080" s="6">
        <f>IF($C1080="","",IF(COUNTIF($C$2:$C1080,$C1080)=1,1,0))</f>
        <v/>
      </c>
    </row>
    <row r="1081">
      <c r="P1081" s="6">
        <f>IF($C1081="","",IF(COUNTIF($C$2:$C1081,$C1081)=1,1,0))</f>
        <v/>
      </c>
    </row>
    <row r="1082">
      <c r="P1082" s="6">
        <f>IF($C1082="","",IF(COUNTIF($C$2:$C1082,$C1082)=1,1,0))</f>
        <v/>
      </c>
    </row>
    <row r="1083">
      <c r="P1083" s="6">
        <f>IF($C1083="","",IF(COUNTIF($C$2:$C1083,$C1083)=1,1,0))</f>
        <v/>
      </c>
    </row>
    <row r="1084">
      <c r="P1084" s="6">
        <f>IF($C1084="","",IF(COUNTIF($C$2:$C1084,$C1084)=1,1,0))</f>
        <v/>
      </c>
    </row>
    <row r="1085">
      <c r="P1085" s="6">
        <f>IF($C1085="","",IF(COUNTIF($C$2:$C1085,$C1085)=1,1,0))</f>
        <v/>
      </c>
    </row>
    <row r="1086">
      <c r="P1086" s="6">
        <f>IF($C1086="","",IF(COUNTIF($C$2:$C1086,$C1086)=1,1,0))</f>
        <v/>
      </c>
    </row>
    <row r="1087">
      <c r="P1087" s="6">
        <f>IF($C1087="","",IF(COUNTIF($C$2:$C1087,$C1087)=1,1,0))</f>
        <v/>
      </c>
    </row>
    <row r="1088">
      <c r="P1088" s="6">
        <f>IF($C1088="","",IF(COUNTIF($C$2:$C1088,$C1088)=1,1,0))</f>
        <v/>
      </c>
    </row>
    <row r="1089">
      <c r="P1089" s="6">
        <f>IF($C1089="","",IF(COUNTIF($C$2:$C1089,$C1089)=1,1,0))</f>
        <v/>
      </c>
    </row>
    <row r="1090">
      <c r="P1090" s="6">
        <f>IF($C1090="","",IF(COUNTIF($C$2:$C1090,$C1090)=1,1,0))</f>
        <v/>
      </c>
    </row>
    <row r="1091">
      <c r="P1091" s="6">
        <f>IF($C1091="","",IF(COUNTIF($C$2:$C1091,$C1091)=1,1,0))</f>
        <v/>
      </c>
    </row>
    <row r="1092">
      <c r="P1092" s="6">
        <f>IF($C1092="","",IF(COUNTIF($C$2:$C1092,$C1092)=1,1,0))</f>
        <v/>
      </c>
    </row>
    <row r="1093">
      <c r="P1093" s="6">
        <f>IF($C1093="","",IF(COUNTIF($C$2:$C1093,$C1093)=1,1,0))</f>
        <v/>
      </c>
    </row>
    <row r="1094">
      <c r="P1094" s="6">
        <f>IF($C1094="","",IF(COUNTIF($C$2:$C1094,$C1094)=1,1,0))</f>
        <v/>
      </c>
    </row>
    <row r="1095">
      <c r="P1095" s="6">
        <f>IF($C1095="","",IF(COUNTIF($C$2:$C1095,$C1095)=1,1,0))</f>
        <v/>
      </c>
    </row>
    <row r="1096">
      <c r="P1096" s="6">
        <f>IF($C1096="","",IF(COUNTIF($C$2:$C1096,$C1096)=1,1,0))</f>
        <v/>
      </c>
    </row>
    <row r="1097">
      <c r="P1097" s="6">
        <f>IF($C1097="","",IF(COUNTIF($C$2:$C1097,$C1097)=1,1,0))</f>
        <v/>
      </c>
    </row>
    <row r="1098">
      <c r="P1098" s="6">
        <f>IF($C1098="","",IF(COUNTIF($C$2:$C1098,$C1098)=1,1,0))</f>
        <v/>
      </c>
    </row>
    <row r="1099">
      <c r="P1099" s="6">
        <f>IF($C1099="","",IF(COUNTIF($C$2:$C1099,$C1099)=1,1,0))</f>
        <v/>
      </c>
    </row>
    <row r="1100">
      <c r="P1100" s="6">
        <f>IF($C1100="","",IF(COUNTIF($C$2:$C1100,$C1100)=1,1,0))</f>
        <v/>
      </c>
    </row>
    <row r="1101">
      <c r="P1101" s="6">
        <f>IF($C1101="","",IF(COUNTIF($C$2:$C1101,$C1101)=1,1,0))</f>
        <v/>
      </c>
    </row>
    <row r="1102">
      <c r="P1102" s="6">
        <f>IF($C1102="","",IF(COUNTIF($C$2:$C1102,$C1102)=1,1,0))</f>
        <v/>
      </c>
    </row>
    <row r="1103">
      <c r="P1103" s="6">
        <f>IF($C1103="","",IF(COUNTIF($C$2:$C1103,$C1103)=1,1,0))</f>
        <v/>
      </c>
    </row>
    <row r="1104">
      <c r="P1104" s="6">
        <f>IF($C1104="","",IF(COUNTIF($C$2:$C1104,$C1104)=1,1,0))</f>
        <v/>
      </c>
    </row>
    <row r="1105">
      <c r="P1105" s="6">
        <f>IF($C1105="","",IF(COUNTIF($C$2:$C1105,$C1105)=1,1,0))</f>
        <v/>
      </c>
    </row>
    <row r="1106">
      <c r="P1106" s="6">
        <f>IF($C1106="","",IF(COUNTIF($C$2:$C1106,$C1106)=1,1,0))</f>
        <v/>
      </c>
    </row>
    <row r="1107">
      <c r="P1107" s="6">
        <f>IF($C1107="","",IF(COUNTIF($C$2:$C1107,$C1107)=1,1,0))</f>
        <v/>
      </c>
    </row>
    <row r="1108">
      <c r="P1108" s="6">
        <f>IF($C1108="","",IF(COUNTIF($C$2:$C1108,$C1108)=1,1,0))</f>
        <v/>
      </c>
    </row>
    <row r="1109">
      <c r="P1109" s="6">
        <f>IF($C1109="","",IF(COUNTIF($C$2:$C1109,$C1109)=1,1,0))</f>
        <v/>
      </c>
    </row>
    <row r="1110">
      <c r="P1110" s="6">
        <f>IF($C1110="","",IF(COUNTIF($C$2:$C1110,$C1110)=1,1,0))</f>
        <v/>
      </c>
    </row>
    <row r="1111">
      <c r="P1111" s="6">
        <f>IF($C1111="","",IF(COUNTIF($C$2:$C1111,$C1111)=1,1,0))</f>
        <v/>
      </c>
    </row>
    <row r="1112">
      <c r="P1112" s="6">
        <f>IF($C1112="","",IF(COUNTIF($C$2:$C1112,$C1112)=1,1,0))</f>
        <v/>
      </c>
    </row>
    <row r="1113">
      <c r="P1113" s="6">
        <f>IF($C1113="","",IF(COUNTIF($C$2:$C1113,$C1113)=1,1,0))</f>
        <v/>
      </c>
    </row>
    <row r="1114">
      <c r="P1114" s="6">
        <f>IF($C1114="","",IF(COUNTIF($C$2:$C1114,$C1114)=1,1,0))</f>
        <v/>
      </c>
    </row>
    <row r="1115">
      <c r="P1115" s="6">
        <f>IF($C1115="","",IF(COUNTIF($C$2:$C1115,$C1115)=1,1,0))</f>
        <v/>
      </c>
    </row>
    <row r="1116">
      <c r="P1116" s="6">
        <f>IF($C1116="","",IF(COUNTIF($C$2:$C1116,$C1116)=1,1,0))</f>
        <v/>
      </c>
    </row>
    <row r="1117">
      <c r="P1117" s="6">
        <f>IF($C1117="","",IF(COUNTIF($C$2:$C1117,$C1117)=1,1,0))</f>
        <v/>
      </c>
    </row>
    <row r="1118">
      <c r="P1118" s="6">
        <f>IF($C1118="","",IF(COUNTIF($C$2:$C1118,$C1118)=1,1,0))</f>
        <v/>
      </c>
    </row>
    <row r="1119">
      <c r="P1119" s="6">
        <f>IF($C1119="","",IF(COUNTIF($C$2:$C1119,$C1119)=1,1,0))</f>
        <v/>
      </c>
    </row>
    <row r="1120">
      <c r="P1120" s="6">
        <f>IF($C1120="","",IF(COUNTIF($C$2:$C1120,$C1120)=1,1,0))</f>
        <v/>
      </c>
    </row>
    <row r="1121">
      <c r="P1121" s="6">
        <f>IF($C1121="","",IF(COUNTIF($C$2:$C1121,$C1121)=1,1,0))</f>
        <v/>
      </c>
    </row>
    <row r="1122">
      <c r="P1122" s="6">
        <f>IF($C1122="","",IF(COUNTIF($C$2:$C1122,$C1122)=1,1,0))</f>
        <v/>
      </c>
    </row>
    <row r="1123">
      <c r="P1123" s="6">
        <f>IF($C1123="","",IF(COUNTIF($C$2:$C1123,$C1123)=1,1,0))</f>
        <v/>
      </c>
    </row>
    <row r="1124">
      <c r="P1124" s="6">
        <f>IF($C1124="","",IF(COUNTIF($C$2:$C1124,$C1124)=1,1,0))</f>
        <v/>
      </c>
    </row>
    <row r="1125">
      <c r="P1125" s="6">
        <f>IF($C1125="","",IF(COUNTIF($C$2:$C1125,$C1125)=1,1,0))</f>
        <v/>
      </c>
    </row>
    <row r="1126">
      <c r="P1126" s="6">
        <f>IF($C1126="","",IF(COUNTIF($C$2:$C1126,$C1126)=1,1,0))</f>
        <v/>
      </c>
    </row>
    <row r="1127">
      <c r="P1127" s="6">
        <f>IF($C1127="","",IF(COUNTIF($C$2:$C1127,$C1127)=1,1,0))</f>
        <v/>
      </c>
    </row>
    <row r="1128">
      <c r="P1128" s="6">
        <f>IF($C1128="","",IF(COUNTIF($C$2:$C1128,$C1128)=1,1,0))</f>
        <v/>
      </c>
    </row>
    <row r="1129">
      <c r="P1129" s="6">
        <f>IF($C1129="","",IF(COUNTIF($C$2:$C1129,$C1129)=1,1,0))</f>
        <v/>
      </c>
    </row>
    <row r="1130">
      <c r="P1130" s="6">
        <f>IF($C1130="","",IF(COUNTIF($C$2:$C1130,$C1130)=1,1,0))</f>
        <v/>
      </c>
    </row>
    <row r="1131">
      <c r="P1131" s="6">
        <f>IF($C1131="","",IF(COUNTIF($C$2:$C1131,$C1131)=1,1,0))</f>
        <v/>
      </c>
    </row>
    <row r="1132">
      <c r="P1132" s="6">
        <f>IF($C1132="","",IF(COUNTIF($C$2:$C1132,$C1132)=1,1,0))</f>
        <v/>
      </c>
    </row>
    <row r="1133">
      <c r="P1133" s="6">
        <f>IF($C1133="","",IF(COUNTIF($C$2:$C1133,$C1133)=1,1,0))</f>
        <v/>
      </c>
    </row>
    <row r="1134">
      <c r="P1134" s="6">
        <f>IF($C1134="","",IF(COUNTIF($C$2:$C1134,$C1134)=1,1,0))</f>
        <v/>
      </c>
    </row>
    <row r="1135">
      <c r="P1135" s="6">
        <f>IF($C1135="","",IF(COUNTIF($C$2:$C1135,$C1135)=1,1,0))</f>
        <v/>
      </c>
    </row>
    <row r="1136">
      <c r="P1136" s="6">
        <f>IF($C1136="","",IF(COUNTIF($C$2:$C1136,$C1136)=1,1,0))</f>
        <v/>
      </c>
    </row>
    <row r="1137">
      <c r="P1137" s="6">
        <f>IF($C1137="","",IF(COUNTIF($C$2:$C1137,$C1137)=1,1,0))</f>
        <v/>
      </c>
    </row>
    <row r="1138">
      <c r="P1138" s="6">
        <f>IF($C1138="","",IF(COUNTIF($C$2:$C1138,$C1138)=1,1,0))</f>
        <v/>
      </c>
    </row>
    <row r="1139">
      <c r="P1139" s="6">
        <f>IF($C1139="","",IF(COUNTIF($C$2:$C1139,$C1139)=1,1,0))</f>
        <v/>
      </c>
    </row>
    <row r="1140">
      <c r="P1140" s="6">
        <f>IF($C1140="","",IF(COUNTIF($C$2:$C1140,$C1140)=1,1,0))</f>
        <v/>
      </c>
    </row>
    <row r="1141">
      <c r="P1141" s="6">
        <f>IF($C1141="","",IF(COUNTIF($C$2:$C1141,$C1141)=1,1,0))</f>
        <v/>
      </c>
    </row>
    <row r="1142">
      <c r="P1142" s="6">
        <f>IF($C1142="","",IF(COUNTIF($C$2:$C1142,$C1142)=1,1,0))</f>
        <v/>
      </c>
    </row>
    <row r="1143">
      <c r="P1143" s="6">
        <f>IF($C1143="","",IF(COUNTIF($C$2:$C1143,$C1143)=1,1,0))</f>
        <v/>
      </c>
    </row>
    <row r="1144">
      <c r="P1144" s="6">
        <f>IF($C1144="","",IF(COUNTIF($C$2:$C1144,$C1144)=1,1,0))</f>
        <v/>
      </c>
    </row>
    <row r="1145">
      <c r="P1145" s="6">
        <f>IF($C1145="","",IF(COUNTIF($C$2:$C1145,$C1145)=1,1,0))</f>
        <v/>
      </c>
    </row>
    <row r="1146">
      <c r="P1146" s="6">
        <f>IF($C1146="","",IF(COUNTIF($C$2:$C1146,$C1146)=1,1,0))</f>
        <v/>
      </c>
    </row>
    <row r="1147">
      <c r="P1147" s="6">
        <f>IF($C1147="","",IF(COUNTIF($C$2:$C1147,$C1147)=1,1,0))</f>
        <v/>
      </c>
    </row>
    <row r="1148">
      <c r="P1148" s="6">
        <f>IF($C1148="","",IF(COUNTIF($C$2:$C1148,$C1148)=1,1,0))</f>
        <v/>
      </c>
    </row>
    <row r="1149">
      <c r="P1149" s="6">
        <f>IF($C1149="","",IF(COUNTIF($C$2:$C1149,$C1149)=1,1,0))</f>
        <v/>
      </c>
    </row>
    <row r="1150">
      <c r="P1150" s="6">
        <f>IF($C1150="","",IF(COUNTIF($C$2:$C1150,$C1150)=1,1,0))</f>
        <v/>
      </c>
    </row>
    <row r="1151">
      <c r="P1151" s="6">
        <f>IF($C1151="","",IF(COUNTIF($C$2:$C1151,$C1151)=1,1,0))</f>
        <v/>
      </c>
    </row>
    <row r="1152">
      <c r="P1152" s="6">
        <f>IF($C1152="","",IF(COUNTIF($C$2:$C1152,$C1152)=1,1,0))</f>
        <v/>
      </c>
    </row>
    <row r="1153">
      <c r="P1153" s="6">
        <f>IF($C1153="","",IF(COUNTIF($C$2:$C1153,$C1153)=1,1,0))</f>
        <v/>
      </c>
    </row>
    <row r="1154">
      <c r="P1154" s="6">
        <f>IF($C1154="","",IF(COUNTIF($C$2:$C1154,$C1154)=1,1,0))</f>
        <v/>
      </c>
    </row>
    <row r="1155">
      <c r="P1155" s="6">
        <f>IF($C1155="","",IF(COUNTIF($C$2:$C1155,$C1155)=1,1,0))</f>
        <v/>
      </c>
    </row>
    <row r="1156">
      <c r="P1156" s="6">
        <f>IF($C1156="","",IF(COUNTIF($C$2:$C1156,$C1156)=1,1,0))</f>
        <v/>
      </c>
    </row>
    <row r="1157">
      <c r="P1157" s="6">
        <f>IF($C1157="","",IF(COUNTIF($C$2:$C1157,$C1157)=1,1,0))</f>
        <v/>
      </c>
    </row>
    <row r="1158">
      <c r="P1158" s="6">
        <f>IF($C1158="","",IF(COUNTIF($C$2:$C1158,$C1158)=1,1,0))</f>
        <v/>
      </c>
    </row>
    <row r="1159">
      <c r="P1159" s="6">
        <f>IF($C1159="","",IF(COUNTIF($C$2:$C1159,$C1159)=1,1,0))</f>
        <v/>
      </c>
    </row>
    <row r="1160">
      <c r="P1160" s="6">
        <f>IF($C1160="","",IF(COUNTIF($C$2:$C1160,$C1160)=1,1,0))</f>
        <v/>
      </c>
    </row>
    <row r="1161">
      <c r="P1161" s="6">
        <f>IF($C1161="","",IF(COUNTIF($C$2:$C1161,$C1161)=1,1,0))</f>
        <v/>
      </c>
    </row>
    <row r="1162">
      <c r="P1162" s="6">
        <f>IF($C1162="","",IF(COUNTIF($C$2:$C1162,$C1162)=1,1,0))</f>
        <v/>
      </c>
    </row>
    <row r="1163">
      <c r="P1163" s="6">
        <f>IF($C1163="","",IF(COUNTIF($C$2:$C1163,$C1163)=1,1,0))</f>
        <v/>
      </c>
    </row>
    <row r="1164">
      <c r="P1164" s="6">
        <f>IF($C1164="","",IF(COUNTIF($C$2:$C1164,$C1164)=1,1,0))</f>
        <v/>
      </c>
    </row>
    <row r="1165">
      <c r="P1165" s="6">
        <f>IF($C1165="","",IF(COUNTIF($C$2:$C1165,$C1165)=1,1,0))</f>
        <v/>
      </c>
    </row>
    <row r="1166">
      <c r="P1166" s="6">
        <f>IF($C1166="","",IF(COUNTIF($C$2:$C1166,$C1166)=1,1,0))</f>
        <v/>
      </c>
    </row>
    <row r="1167">
      <c r="P1167" s="6">
        <f>IF($C1167="","",IF(COUNTIF($C$2:$C1167,$C1167)=1,1,0))</f>
        <v/>
      </c>
    </row>
    <row r="1168">
      <c r="P1168" s="6">
        <f>IF($C1168="","",IF(COUNTIF($C$2:$C1168,$C1168)=1,1,0))</f>
        <v/>
      </c>
    </row>
    <row r="1169">
      <c r="P1169" s="6">
        <f>IF($C1169="","",IF(COUNTIF($C$2:$C1169,$C1169)=1,1,0))</f>
        <v/>
      </c>
    </row>
    <row r="1170">
      <c r="P1170" s="6">
        <f>IF($C1170="","",IF(COUNTIF($C$2:$C1170,$C1170)=1,1,0))</f>
        <v/>
      </c>
    </row>
    <row r="1171">
      <c r="P1171" s="6">
        <f>IF($C1171="","",IF(COUNTIF($C$2:$C1171,$C1171)=1,1,0))</f>
        <v/>
      </c>
    </row>
    <row r="1172">
      <c r="P1172" s="6">
        <f>IF($C1172="","",IF(COUNTIF($C$2:$C1172,$C1172)=1,1,0))</f>
        <v/>
      </c>
    </row>
    <row r="1173">
      <c r="P1173" s="6">
        <f>IF($C1173="","",IF(COUNTIF($C$2:$C1173,$C1173)=1,1,0))</f>
        <v/>
      </c>
    </row>
    <row r="1174">
      <c r="P1174" s="6">
        <f>IF($C1174="","",IF(COUNTIF($C$2:$C1174,$C1174)=1,1,0))</f>
        <v/>
      </c>
    </row>
    <row r="1175">
      <c r="P1175" s="6">
        <f>IF($C1175="","",IF(COUNTIF($C$2:$C1175,$C1175)=1,1,0))</f>
        <v/>
      </c>
    </row>
    <row r="1176">
      <c r="P1176" s="6">
        <f>IF($C1176="","",IF(COUNTIF($C$2:$C1176,$C1176)=1,1,0))</f>
        <v/>
      </c>
    </row>
    <row r="1177">
      <c r="P1177" s="6">
        <f>IF($C1177="","",IF(COUNTIF($C$2:$C1177,$C1177)=1,1,0))</f>
        <v/>
      </c>
    </row>
    <row r="1178">
      <c r="P1178" s="6">
        <f>IF($C1178="","",IF(COUNTIF($C$2:$C1178,$C1178)=1,1,0))</f>
        <v/>
      </c>
    </row>
    <row r="1179">
      <c r="P1179" s="6">
        <f>IF($C1179="","",IF(COUNTIF($C$2:$C1179,$C1179)=1,1,0))</f>
        <v/>
      </c>
    </row>
    <row r="1180">
      <c r="P1180" s="6">
        <f>IF($C1180="","",IF(COUNTIF($C$2:$C1180,$C1180)=1,1,0))</f>
        <v/>
      </c>
    </row>
    <row r="1181">
      <c r="P1181" s="6">
        <f>IF($C1181="","",IF(COUNTIF($C$2:$C1181,$C1181)=1,1,0))</f>
        <v/>
      </c>
    </row>
    <row r="1182">
      <c r="P1182" s="6">
        <f>IF($C1182="","",IF(COUNTIF($C$2:$C1182,$C1182)=1,1,0))</f>
        <v/>
      </c>
    </row>
    <row r="1183">
      <c r="P1183" s="6">
        <f>IF($C1183="","",IF(COUNTIF($C$2:$C1183,$C1183)=1,1,0))</f>
        <v/>
      </c>
    </row>
    <row r="1184">
      <c r="P1184" s="6">
        <f>IF($C1184="","",IF(COUNTIF($C$2:$C1184,$C1184)=1,1,0))</f>
        <v/>
      </c>
    </row>
    <row r="1185">
      <c r="P1185" s="6">
        <f>IF($C1185="","",IF(COUNTIF($C$2:$C1185,$C1185)=1,1,0))</f>
        <v/>
      </c>
    </row>
    <row r="1186">
      <c r="P1186" s="6">
        <f>IF($C1186="","",IF(COUNTIF($C$2:$C1186,$C1186)=1,1,0))</f>
        <v/>
      </c>
    </row>
    <row r="1187">
      <c r="P1187" s="6">
        <f>IF($C1187="","",IF(COUNTIF($C$2:$C1187,$C1187)=1,1,0))</f>
        <v/>
      </c>
    </row>
    <row r="1188">
      <c r="P1188" s="6">
        <f>IF($C1188="","",IF(COUNTIF($C$2:$C1188,$C1188)=1,1,0))</f>
        <v/>
      </c>
    </row>
    <row r="1189">
      <c r="P1189" s="6">
        <f>IF($C1189="","",IF(COUNTIF($C$2:$C1189,$C1189)=1,1,0))</f>
        <v/>
      </c>
    </row>
    <row r="1190">
      <c r="P1190" s="6">
        <f>IF($C1190="","",IF(COUNTIF($C$2:$C1190,$C1190)=1,1,0))</f>
        <v/>
      </c>
    </row>
    <row r="1191">
      <c r="P1191" s="6">
        <f>IF($C1191="","",IF(COUNTIF($C$2:$C1191,$C1191)=1,1,0))</f>
        <v/>
      </c>
    </row>
    <row r="1192">
      <c r="P1192" s="6">
        <f>IF($C1192="","",IF(COUNTIF($C$2:$C1192,$C1192)=1,1,0))</f>
        <v/>
      </c>
    </row>
    <row r="1193">
      <c r="P1193" s="6">
        <f>IF($C1193="","",IF(COUNTIF($C$2:$C1193,$C1193)=1,1,0))</f>
        <v/>
      </c>
    </row>
    <row r="1194">
      <c r="P1194" s="6">
        <f>IF($C1194="","",IF(COUNTIF($C$2:$C1194,$C1194)=1,1,0))</f>
        <v/>
      </c>
    </row>
    <row r="1195">
      <c r="P1195" s="6">
        <f>IF($C1195="","",IF(COUNTIF($C$2:$C1195,$C1195)=1,1,0))</f>
        <v/>
      </c>
    </row>
    <row r="1196">
      <c r="P1196" s="6">
        <f>IF($C1196="","",IF(COUNTIF($C$2:$C1196,$C1196)=1,1,0))</f>
        <v/>
      </c>
    </row>
    <row r="1197">
      <c r="P1197" s="6">
        <f>IF($C1197="","",IF(COUNTIF($C$2:$C1197,$C1197)=1,1,0))</f>
        <v/>
      </c>
    </row>
    <row r="1198">
      <c r="P1198" s="6">
        <f>IF($C1198="","",IF(COUNTIF($C$2:$C1198,$C1198)=1,1,0))</f>
        <v/>
      </c>
    </row>
    <row r="1199">
      <c r="P1199" s="6">
        <f>IF($C1199="","",IF(COUNTIF($C$2:$C1199,$C1199)=1,1,0))</f>
        <v/>
      </c>
    </row>
    <row r="1200">
      <c r="P1200" s="6">
        <f>IF($C1200="","",IF(COUNTIF($C$2:$C1200,$C1200)=1,1,0))</f>
        <v/>
      </c>
    </row>
    <row r="1201">
      <c r="P1201" s="6">
        <f>IF($C1201="","",IF(COUNTIF($C$2:$C1201,$C1201)=1,1,0))</f>
        <v/>
      </c>
    </row>
    <row r="1202">
      <c r="P1202" s="6">
        <f>IF($C1202="","",IF(COUNTIF($C$2:$C1202,$C1202)=1,1,0))</f>
        <v/>
      </c>
    </row>
    <row r="1203">
      <c r="P1203" s="6">
        <f>IF($C1203="","",IF(COUNTIF($C$2:$C1203,$C1203)=1,1,0))</f>
        <v/>
      </c>
    </row>
    <row r="1204">
      <c r="P1204" s="6">
        <f>IF($C1204="","",IF(COUNTIF($C$2:$C1204,$C1204)=1,1,0))</f>
        <v/>
      </c>
    </row>
    <row r="1205">
      <c r="P1205" s="6">
        <f>IF($C1205="","",IF(COUNTIF($C$2:$C1205,$C1205)=1,1,0))</f>
        <v/>
      </c>
    </row>
    <row r="1206">
      <c r="P1206" s="6">
        <f>IF($C1206="","",IF(COUNTIF($C$2:$C1206,$C1206)=1,1,0))</f>
        <v/>
      </c>
    </row>
    <row r="1207">
      <c r="P1207" s="6">
        <f>IF($C1207="","",IF(COUNTIF($C$2:$C1207,$C1207)=1,1,0))</f>
        <v/>
      </c>
    </row>
    <row r="1208">
      <c r="P1208" s="6">
        <f>IF($C1208="","",IF(COUNTIF($C$2:$C1208,$C1208)=1,1,0))</f>
        <v/>
      </c>
    </row>
    <row r="1209">
      <c r="P1209" s="6">
        <f>IF($C1209="","",IF(COUNTIF($C$2:$C1209,$C1209)=1,1,0))</f>
        <v/>
      </c>
    </row>
    <row r="1210">
      <c r="P1210" s="6">
        <f>IF($C1210="","",IF(COUNTIF($C$2:$C1210,$C1210)=1,1,0))</f>
        <v/>
      </c>
    </row>
    <row r="1211">
      <c r="P1211" s="6">
        <f>IF($C1211="","",IF(COUNTIF($C$2:$C1211,$C1211)=1,1,0))</f>
        <v/>
      </c>
    </row>
    <row r="1212">
      <c r="P1212" s="6">
        <f>IF($C1212="","",IF(COUNTIF($C$2:$C1212,$C1212)=1,1,0))</f>
        <v/>
      </c>
    </row>
    <row r="1213">
      <c r="P1213" s="6">
        <f>IF($C1213="","",IF(COUNTIF($C$2:$C1213,$C1213)=1,1,0))</f>
        <v/>
      </c>
    </row>
    <row r="1214">
      <c r="P1214" s="6">
        <f>IF($C1214="","",IF(COUNTIF($C$2:$C1214,$C1214)=1,1,0))</f>
        <v/>
      </c>
    </row>
    <row r="1215">
      <c r="P1215" s="6">
        <f>IF($C1215="","",IF(COUNTIF($C$2:$C1215,$C1215)=1,1,0))</f>
        <v/>
      </c>
    </row>
    <row r="1216">
      <c r="P1216" s="6">
        <f>IF($C1216="","",IF(COUNTIF($C$2:$C1216,$C1216)=1,1,0))</f>
        <v/>
      </c>
    </row>
    <row r="1217">
      <c r="P1217" s="6">
        <f>IF($C1217="","",IF(COUNTIF($C$2:$C1217,$C1217)=1,1,0))</f>
        <v/>
      </c>
    </row>
    <row r="1218">
      <c r="P1218" s="6">
        <f>IF($C1218="","",IF(COUNTIF($C$2:$C1218,$C1218)=1,1,0))</f>
        <v/>
      </c>
    </row>
    <row r="1219">
      <c r="P1219" s="6">
        <f>IF($C1219="","",IF(COUNTIF($C$2:$C1219,$C1219)=1,1,0))</f>
        <v/>
      </c>
    </row>
    <row r="1220">
      <c r="P1220" s="6">
        <f>IF($C1220="","",IF(COUNTIF($C$2:$C1220,$C1220)=1,1,0))</f>
        <v/>
      </c>
    </row>
    <row r="1221">
      <c r="P1221" s="6">
        <f>IF($C1221="","",IF(COUNTIF($C$2:$C1221,$C1221)=1,1,0))</f>
        <v/>
      </c>
    </row>
    <row r="1222">
      <c r="P1222" s="6">
        <f>IF($C1222="","",IF(COUNTIF($C$2:$C1222,$C1222)=1,1,0))</f>
        <v/>
      </c>
    </row>
    <row r="1223">
      <c r="P1223" s="6">
        <f>IF($C1223="","",IF(COUNTIF($C$2:$C1223,$C1223)=1,1,0))</f>
        <v/>
      </c>
    </row>
    <row r="1224">
      <c r="P1224" s="6">
        <f>IF($C1224="","",IF(COUNTIF($C$2:$C1224,$C1224)=1,1,0))</f>
        <v/>
      </c>
    </row>
    <row r="1225">
      <c r="P1225" s="6">
        <f>IF($C1225="","",IF(COUNTIF($C$2:$C1225,$C1225)=1,1,0))</f>
        <v/>
      </c>
    </row>
    <row r="1226">
      <c r="P1226" s="6">
        <f>IF($C1226="","",IF(COUNTIF($C$2:$C1226,$C1226)=1,1,0))</f>
        <v/>
      </c>
    </row>
    <row r="1227">
      <c r="P1227" s="6">
        <f>IF($C1227="","",IF(COUNTIF($C$2:$C1227,$C1227)=1,1,0))</f>
        <v/>
      </c>
    </row>
    <row r="1228">
      <c r="P1228" s="6">
        <f>IF($C1228="","",IF(COUNTIF($C$2:$C1228,$C1228)=1,1,0))</f>
        <v/>
      </c>
    </row>
    <row r="1229">
      <c r="P1229" s="6">
        <f>IF($C1229="","",IF(COUNTIF($C$2:$C1229,$C1229)=1,1,0))</f>
        <v/>
      </c>
    </row>
    <row r="1230">
      <c r="P1230" s="6">
        <f>IF($C1230="","",IF(COUNTIF($C$2:$C1230,$C1230)=1,1,0))</f>
        <v/>
      </c>
    </row>
    <row r="1231">
      <c r="P1231" s="6">
        <f>IF($C1231="","",IF(COUNTIF($C$2:$C1231,$C1231)=1,1,0))</f>
        <v/>
      </c>
    </row>
    <row r="1232">
      <c r="P1232" s="6">
        <f>IF($C1232="","",IF(COUNTIF($C$2:$C1232,$C1232)=1,1,0))</f>
        <v/>
      </c>
    </row>
    <row r="1233">
      <c r="P1233" s="6">
        <f>IF($C1233="","",IF(COUNTIF($C$2:$C1233,$C1233)=1,1,0))</f>
        <v/>
      </c>
    </row>
    <row r="1234">
      <c r="P1234" s="6">
        <f>IF($C1234="","",IF(COUNTIF($C$2:$C1234,$C1234)=1,1,0))</f>
        <v/>
      </c>
    </row>
    <row r="1235">
      <c r="P1235" s="6">
        <f>IF($C1235="","",IF(COUNTIF($C$2:$C1235,$C1235)=1,1,0))</f>
        <v/>
      </c>
    </row>
    <row r="1236">
      <c r="P1236" s="6">
        <f>IF($C1236="","",IF(COUNTIF($C$2:$C1236,$C1236)=1,1,0))</f>
        <v/>
      </c>
    </row>
    <row r="1237">
      <c r="P1237" s="6">
        <f>IF($C1237="","",IF(COUNTIF($C$2:$C1237,$C1237)=1,1,0))</f>
        <v/>
      </c>
    </row>
    <row r="1238">
      <c r="P1238" s="6">
        <f>IF($C1238="","",IF(COUNTIF($C$2:$C1238,$C1238)=1,1,0))</f>
        <v/>
      </c>
    </row>
    <row r="1239">
      <c r="P1239" s="6">
        <f>IF($C1239="","",IF(COUNTIF($C$2:$C1239,$C1239)=1,1,0))</f>
        <v/>
      </c>
    </row>
    <row r="1240">
      <c r="P1240" s="6">
        <f>IF($C1240="","",IF(COUNTIF($C$2:$C1240,$C1240)=1,1,0))</f>
        <v/>
      </c>
    </row>
    <row r="1241">
      <c r="P1241" s="6">
        <f>IF($C1241="","",IF(COUNTIF($C$2:$C1241,$C1241)=1,1,0))</f>
        <v/>
      </c>
    </row>
    <row r="1242">
      <c r="P1242" s="6">
        <f>IF($C1242="","",IF(COUNTIF($C$2:$C1242,$C1242)=1,1,0))</f>
        <v/>
      </c>
    </row>
    <row r="1243">
      <c r="P1243" s="6">
        <f>IF($C1243="","",IF(COUNTIF($C$2:$C1243,$C1243)=1,1,0))</f>
        <v/>
      </c>
    </row>
    <row r="1244">
      <c r="P1244" s="6">
        <f>IF($C1244="","",IF(COUNTIF($C$2:$C1244,$C1244)=1,1,0))</f>
        <v/>
      </c>
    </row>
    <row r="1245">
      <c r="P1245" s="6">
        <f>IF($C1245="","",IF(COUNTIF($C$2:$C1245,$C1245)=1,1,0))</f>
        <v/>
      </c>
    </row>
    <row r="1246">
      <c r="P1246" s="6">
        <f>IF($C1246="","",IF(COUNTIF($C$2:$C1246,$C1246)=1,1,0))</f>
        <v/>
      </c>
    </row>
    <row r="1247">
      <c r="P1247" s="6">
        <f>IF($C1247="","",IF(COUNTIF($C$2:$C1247,$C1247)=1,1,0))</f>
        <v/>
      </c>
    </row>
    <row r="1248">
      <c r="P1248" s="6">
        <f>IF($C1248="","",IF(COUNTIF($C$2:$C1248,$C1248)=1,1,0))</f>
        <v/>
      </c>
    </row>
    <row r="1249">
      <c r="P1249" s="6">
        <f>IF($C1249="","",IF(COUNTIF($C$2:$C1249,$C1249)=1,1,0))</f>
        <v/>
      </c>
    </row>
    <row r="1250">
      <c r="P1250" s="6">
        <f>IF($C1250="","",IF(COUNTIF($C$2:$C1250,$C1250)=1,1,0))</f>
        <v/>
      </c>
    </row>
    <row r="1251">
      <c r="P1251" s="6">
        <f>IF($C1251="","",IF(COUNTIF($C$2:$C1251,$C1251)=1,1,0))</f>
        <v/>
      </c>
    </row>
    <row r="1252">
      <c r="P1252" s="6">
        <f>IF($C1252="","",IF(COUNTIF($C$2:$C1252,$C1252)=1,1,0))</f>
        <v/>
      </c>
    </row>
    <row r="1253">
      <c r="P1253" s="6">
        <f>IF($C1253="","",IF(COUNTIF($C$2:$C1253,$C1253)=1,1,0))</f>
        <v/>
      </c>
    </row>
    <row r="1254">
      <c r="P1254" s="6">
        <f>IF($C1254="","",IF(COUNTIF($C$2:$C1254,$C1254)=1,1,0))</f>
        <v/>
      </c>
    </row>
    <row r="1255">
      <c r="P1255" s="6">
        <f>IF($C1255="","",IF(COUNTIF($C$2:$C1255,$C1255)=1,1,0))</f>
        <v/>
      </c>
    </row>
    <row r="1256">
      <c r="P1256" s="6">
        <f>IF($C1256="","",IF(COUNTIF($C$2:$C1256,$C1256)=1,1,0))</f>
        <v/>
      </c>
    </row>
    <row r="1257">
      <c r="P1257" s="6">
        <f>IF($C1257="","",IF(COUNTIF($C$2:$C1257,$C1257)=1,1,0))</f>
        <v/>
      </c>
    </row>
    <row r="1258">
      <c r="P1258" s="6">
        <f>IF($C1258="","",IF(COUNTIF($C$2:$C1258,$C1258)=1,1,0))</f>
        <v/>
      </c>
    </row>
    <row r="1259">
      <c r="P1259" s="6">
        <f>IF($C1259="","",IF(COUNTIF($C$2:$C1259,$C1259)=1,1,0))</f>
        <v/>
      </c>
    </row>
    <row r="1260">
      <c r="P1260" s="6">
        <f>IF($C1260="","",IF(COUNTIF($C$2:$C1260,$C1260)=1,1,0))</f>
        <v/>
      </c>
    </row>
    <row r="1261">
      <c r="P1261" s="6">
        <f>IF($C1261="","",IF(COUNTIF($C$2:$C1261,$C1261)=1,1,0))</f>
        <v/>
      </c>
    </row>
    <row r="1262">
      <c r="P1262" s="6">
        <f>IF($C1262="","",IF(COUNTIF($C$2:$C1262,$C1262)=1,1,0))</f>
        <v/>
      </c>
    </row>
    <row r="1263">
      <c r="P1263" s="6">
        <f>IF($C1263="","",IF(COUNTIF($C$2:$C1263,$C1263)=1,1,0))</f>
        <v/>
      </c>
    </row>
    <row r="1264">
      <c r="P1264" s="6">
        <f>IF($C1264="","",IF(COUNTIF($C$2:$C1264,$C1264)=1,1,0))</f>
        <v/>
      </c>
    </row>
    <row r="1265">
      <c r="P1265" s="6">
        <f>IF($C1265="","",IF(COUNTIF($C$2:$C1265,$C1265)=1,1,0))</f>
        <v/>
      </c>
    </row>
    <row r="1266">
      <c r="P1266" s="6">
        <f>IF($C1266="","",IF(COUNTIF($C$2:$C1266,$C1266)=1,1,0))</f>
        <v/>
      </c>
    </row>
    <row r="1267">
      <c r="P1267" s="6">
        <f>IF($C1267="","",IF(COUNTIF($C$2:$C1267,$C1267)=1,1,0))</f>
        <v/>
      </c>
    </row>
    <row r="1268">
      <c r="P1268" s="6">
        <f>IF($C1268="","",IF(COUNTIF($C$2:$C1268,$C1268)=1,1,0))</f>
        <v/>
      </c>
    </row>
    <row r="1269">
      <c r="P1269" s="6">
        <f>IF($C1269="","",IF(COUNTIF($C$2:$C1269,$C1269)=1,1,0))</f>
        <v/>
      </c>
    </row>
    <row r="1270">
      <c r="P1270" s="6">
        <f>IF($C1270="","",IF(COUNTIF($C$2:$C1270,$C1270)=1,1,0))</f>
        <v/>
      </c>
    </row>
    <row r="1271">
      <c r="P1271" s="6">
        <f>IF($C1271="","",IF(COUNTIF($C$2:$C1271,$C1271)=1,1,0))</f>
        <v/>
      </c>
    </row>
    <row r="1272">
      <c r="P1272" s="6">
        <f>IF($C1272="","",IF(COUNTIF($C$2:$C1272,$C1272)=1,1,0))</f>
        <v/>
      </c>
    </row>
    <row r="1273">
      <c r="P1273" s="6">
        <f>IF($C1273="","",IF(COUNTIF($C$2:$C1273,$C1273)=1,1,0))</f>
        <v/>
      </c>
    </row>
    <row r="1274">
      <c r="P1274" s="6">
        <f>IF($C1274="","",IF(COUNTIF($C$2:$C1274,$C1274)=1,1,0))</f>
        <v/>
      </c>
    </row>
    <row r="1275">
      <c r="P1275" s="6">
        <f>IF($C1275="","",IF(COUNTIF($C$2:$C1275,$C1275)=1,1,0))</f>
        <v/>
      </c>
    </row>
    <row r="1276">
      <c r="P1276" s="6">
        <f>IF($C1276="","",IF(COUNTIF($C$2:$C1276,$C1276)=1,1,0))</f>
        <v/>
      </c>
    </row>
    <row r="1277">
      <c r="P1277" s="6">
        <f>IF($C1277="","",IF(COUNTIF($C$2:$C1277,$C1277)=1,1,0))</f>
        <v/>
      </c>
    </row>
    <row r="1278">
      <c r="P1278" s="6">
        <f>IF($C1278="","",IF(COUNTIF($C$2:$C1278,$C1278)=1,1,0))</f>
        <v/>
      </c>
    </row>
    <row r="1279">
      <c r="P1279" s="6">
        <f>IF($C1279="","",IF(COUNTIF($C$2:$C1279,$C1279)=1,1,0))</f>
        <v/>
      </c>
    </row>
    <row r="1280">
      <c r="P1280" s="6">
        <f>IF($C1280="","",IF(COUNTIF($C$2:$C1280,$C1280)=1,1,0))</f>
        <v/>
      </c>
    </row>
    <row r="1281">
      <c r="P1281" s="6">
        <f>IF($C1281="","",IF(COUNTIF($C$2:$C1281,$C1281)=1,1,0))</f>
        <v/>
      </c>
    </row>
    <row r="1282">
      <c r="P1282" s="6">
        <f>IF($C1282="","",IF(COUNTIF($C$2:$C1282,$C1282)=1,1,0))</f>
        <v/>
      </c>
    </row>
    <row r="1283">
      <c r="P1283" s="6">
        <f>IF($C1283="","",IF(COUNTIF($C$2:$C1283,$C1283)=1,1,0))</f>
        <v/>
      </c>
    </row>
    <row r="1284">
      <c r="P1284" s="6">
        <f>IF($C1284="","",IF(COUNTIF($C$2:$C1284,$C1284)=1,1,0))</f>
        <v/>
      </c>
    </row>
    <row r="1285">
      <c r="P1285" s="6">
        <f>IF($C1285="","",IF(COUNTIF($C$2:$C1285,$C1285)=1,1,0))</f>
        <v/>
      </c>
    </row>
    <row r="1286">
      <c r="P1286" s="6">
        <f>IF($C1286="","",IF(COUNTIF($C$2:$C1286,$C1286)=1,1,0))</f>
        <v/>
      </c>
    </row>
    <row r="1287">
      <c r="P1287" s="6">
        <f>IF($C1287="","",IF(COUNTIF($C$2:$C1287,$C1287)=1,1,0))</f>
        <v/>
      </c>
    </row>
    <row r="1288">
      <c r="P1288" s="6">
        <f>IF($C1288="","",IF(COUNTIF($C$2:$C1288,$C1288)=1,1,0))</f>
        <v/>
      </c>
    </row>
    <row r="1289">
      <c r="P1289" s="6">
        <f>IF($C1289="","",IF(COUNTIF($C$2:$C1289,$C1289)=1,1,0))</f>
        <v/>
      </c>
    </row>
    <row r="1290">
      <c r="P1290" s="6">
        <f>IF($C1290="","",IF(COUNTIF($C$2:$C1290,$C1290)=1,1,0))</f>
        <v/>
      </c>
    </row>
    <row r="1291">
      <c r="P1291" s="6">
        <f>IF($C1291="","",IF(COUNTIF($C$2:$C1291,$C1291)=1,1,0))</f>
        <v/>
      </c>
    </row>
    <row r="1292">
      <c r="P1292" s="6">
        <f>IF($C1292="","",IF(COUNTIF($C$2:$C1292,$C1292)=1,1,0))</f>
        <v/>
      </c>
    </row>
    <row r="1293">
      <c r="P1293" s="6">
        <f>IF($C1293="","",IF(COUNTIF($C$2:$C1293,$C1293)=1,1,0))</f>
        <v/>
      </c>
    </row>
    <row r="1294">
      <c r="P1294" s="6">
        <f>IF($C1294="","",IF(COUNTIF($C$2:$C1294,$C1294)=1,1,0))</f>
        <v/>
      </c>
    </row>
    <row r="1295">
      <c r="P1295" s="6">
        <f>IF($C1295="","",IF(COUNTIF($C$2:$C1295,$C1295)=1,1,0))</f>
        <v/>
      </c>
    </row>
    <row r="1296">
      <c r="P1296" s="6">
        <f>IF($C1296="","",IF(COUNTIF($C$2:$C1296,$C1296)=1,1,0))</f>
        <v/>
      </c>
    </row>
    <row r="1297">
      <c r="P1297" s="6">
        <f>IF($C1297="","",IF(COUNTIF($C$2:$C1297,$C1297)=1,1,0))</f>
        <v/>
      </c>
    </row>
    <row r="1298">
      <c r="P1298" s="6">
        <f>IF($C1298="","",IF(COUNTIF($C$2:$C1298,$C1298)=1,1,0))</f>
        <v/>
      </c>
    </row>
    <row r="1299">
      <c r="P1299" s="6">
        <f>IF($C1299="","",IF(COUNTIF($C$2:$C1299,$C1299)=1,1,0))</f>
        <v/>
      </c>
    </row>
    <row r="1300">
      <c r="P1300" s="6">
        <f>IF($C1300="","",IF(COUNTIF($C$2:$C1300,$C1300)=1,1,0))</f>
        <v/>
      </c>
    </row>
    <row r="1301">
      <c r="P1301" s="6">
        <f>IF($C1301="","",IF(COUNTIF($C$2:$C1301,$C1301)=1,1,0))</f>
        <v/>
      </c>
    </row>
    <row r="1302">
      <c r="P1302" s="6">
        <f>IF($C1302="","",IF(COUNTIF($C$2:$C1302,$C1302)=1,1,0))</f>
        <v/>
      </c>
    </row>
    <row r="1303">
      <c r="P1303" s="6">
        <f>IF($C1303="","",IF(COUNTIF($C$2:$C1303,$C1303)=1,1,0))</f>
        <v/>
      </c>
    </row>
    <row r="1304">
      <c r="P1304" s="6">
        <f>IF($C1304="","",IF(COUNTIF($C$2:$C1304,$C1304)=1,1,0))</f>
        <v/>
      </c>
    </row>
    <row r="1305">
      <c r="P1305" s="6">
        <f>IF($C1305="","",IF(COUNTIF($C$2:$C1305,$C1305)=1,1,0))</f>
        <v/>
      </c>
    </row>
    <row r="1306">
      <c r="P1306" s="6">
        <f>IF($C1306="","",IF(COUNTIF($C$2:$C1306,$C1306)=1,1,0))</f>
        <v/>
      </c>
    </row>
    <row r="1307">
      <c r="P1307" s="6">
        <f>IF($C1307="","",IF(COUNTIF($C$2:$C1307,$C1307)=1,1,0))</f>
        <v/>
      </c>
    </row>
    <row r="1308">
      <c r="P1308" s="6">
        <f>IF($C1308="","",IF(COUNTIF($C$2:$C1308,$C1308)=1,1,0))</f>
        <v/>
      </c>
    </row>
    <row r="1309">
      <c r="P1309" s="6">
        <f>IF($C1309="","",IF(COUNTIF($C$2:$C1309,$C1309)=1,1,0))</f>
        <v/>
      </c>
    </row>
    <row r="1310">
      <c r="P1310" s="6">
        <f>IF($C1310="","",IF(COUNTIF($C$2:$C1310,$C1310)=1,1,0))</f>
        <v/>
      </c>
    </row>
    <row r="1311">
      <c r="P1311" s="6">
        <f>IF($C1311="","",IF(COUNTIF($C$2:$C1311,$C1311)=1,1,0))</f>
        <v/>
      </c>
    </row>
    <row r="1312">
      <c r="P1312" s="6">
        <f>IF($C1312="","",IF(COUNTIF($C$2:$C1312,$C1312)=1,1,0))</f>
        <v/>
      </c>
    </row>
    <row r="1313">
      <c r="P1313" s="6">
        <f>IF($C1313="","",IF(COUNTIF($C$2:$C1313,$C1313)=1,1,0))</f>
        <v/>
      </c>
    </row>
    <row r="1314">
      <c r="P1314" s="6">
        <f>IF($C1314="","",IF(COUNTIF($C$2:$C1314,$C1314)=1,1,0))</f>
        <v/>
      </c>
    </row>
    <row r="1315">
      <c r="P1315" s="6">
        <f>IF($C1315="","",IF(COUNTIF($C$2:$C1315,$C1315)=1,1,0))</f>
        <v/>
      </c>
    </row>
    <row r="1316">
      <c r="P1316" s="6">
        <f>IF($C1316="","",IF(COUNTIF($C$2:$C1316,$C1316)=1,1,0))</f>
        <v/>
      </c>
    </row>
    <row r="1317">
      <c r="P1317" s="6">
        <f>IF($C1317="","",IF(COUNTIF($C$2:$C1317,$C1317)=1,1,0))</f>
        <v/>
      </c>
    </row>
    <row r="1318">
      <c r="P1318" s="6">
        <f>IF($C1318="","",IF(COUNTIF($C$2:$C1318,$C1318)=1,1,0))</f>
        <v/>
      </c>
    </row>
    <row r="1319">
      <c r="P1319" s="6">
        <f>IF($C1319="","",IF(COUNTIF($C$2:$C1319,$C1319)=1,1,0))</f>
        <v/>
      </c>
    </row>
    <row r="1320">
      <c r="P1320" s="6">
        <f>IF($C1320="","",IF(COUNTIF($C$2:$C1320,$C1320)=1,1,0))</f>
        <v/>
      </c>
    </row>
    <row r="1321">
      <c r="P1321" s="6">
        <f>IF($C1321="","",IF(COUNTIF($C$2:$C1321,$C1321)=1,1,0))</f>
        <v/>
      </c>
    </row>
    <row r="1322">
      <c r="P1322" s="6">
        <f>IF($C1322="","",IF(COUNTIF($C$2:$C1322,$C1322)=1,1,0))</f>
        <v/>
      </c>
    </row>
    <row r="1323">
      <c r="P1323" s="6">
        <f>IF($C1323="","",IF(COUNTIF($C$2:$C1323,$C1323)=1,1,0))</f>
        <v/>
      </c>
    </row>
    <row r="1324">
      <c r="P1324" s="6">
        <f>IF($C1324="","",IF(COUNTIF($C$2:$C1324,$C1324)=1,1,0))</f>
        <v/>
      </c>
    </row>
    <row r="1325">
      <c r="P1325" s="6">
        <f>IF($C1325="","",IF(COUNTIF($C$2:$C1325,$C1325)=1,1,0))</f>
        <v/>
      </c>
    </row>
    <row r="1326">
      <c r="P1326" s="6">
        <f>IF($C1326="","",IF(COUNTIF($C$2:$C1326,$C1326)=1,1,0))</f>
        <v/>
      </c>
    </row>
    <row r="1327">
      <c r="P1327" s="6">
        <f>IF($C1327="","",IF(COUNTIF($C$2:$C1327,$C1327)=1,1,0))</f>
        <v/>
      </c>
    </row>
    <row r="1328">
      <c r="P1328" s="6">
        <f>IF($C1328="","",IF(COUNTIF($C$2:$C1328,$C1328)=1,1,0))</f>
        <v/>
      </c>
    </row>
    <row r="1329">
      <c r="P1329" s="6">
        <f>IF($C1329="","",IF(COUNTIF($C$2:$C1329,$C1329)=1,1,0))</f>
        <v/>
      </c>
    </row>
    <row r="1330">
      <c r="P1330" s="6">
        <f>IF($C1330="","",IF(COUNTIF($C$2:$C1330,$C1330)=1,1,0))</f>
        <v/>
      </c>
    </row>
    <row r="1331">
      <c r="P1331" s="6">
        <f>IF($C1331="","",IF(COUNTIF($C$2:$C1331,$C1331)=1,1,0))</f>
        <v/>
      </c>
    </row>
    <row r="1332">
      <c r="P1332" s="6">
        <f>IF($C1332="","",IF(COUNTIF($C$2:$C1332,$C1332)=1,1,0))</f>
        <v/>
      </c>
    </row>
    <row r="1333">
      <c r="P1333" s="6">
        <f>IF($C1333="","",IF(COUNTIF($C$2:$C1333,$C1333)=1,1,0))</f>
        <v/>
      </c>
    </row>
    <row r="1334">
      <c r="P1334" s="6">
        <f>IF($C1334="","",IF(COUNTIF($C$2:$C1334,$C1334)=1,1,0))</f>
        <v/>
      </c>
    </row>
    <row r="1335">
      <c r="P1335" s="6">
        <f>IF($C1335="","",IF(COUNTIF($C$2:$C1335,$C1335)=1,1,0))</f>
        <v/>
      </c>
    </row>
    <row r="1336">
      <c r="P1336" s="6">
        <f>IF($C1336="","",IF(COUNTIF($C$2:$C1336,$C1336)=1,1,0))</f>
        <v/>
      </c>
    </row>
    <row r="1337">
      <c r="P1337" s="6">
        <f>IF($C1337="","",IF(COUNTIF($C$2:$C1337,$C1337)=1,1,0))</f>
        <v/>
      </c>
    </row>
    <row r="1338">
      <c r="P1338" s="6">
        <f>IF($C1338="","",IF(COUNTIF($C$2:$C1338,$C1338)=1,1,0))</f>
        <v/>
      </c>
    </row>
    <row r="1339">
      <c r="P1339" s="6">
        <f>IF($C1339="","",IF(COUNTIF($C$2:$C1339,$C1339)=1,1,0))</f>
        <v/>
      </c>
    </row>
    <row r="1340">
      <c r="P1340" s="6">
        <f>IF($C1340="","",IF(COUNTIF($C$2:$C1340,$C1340)=1,1,0))</f>
        <v/>
      </c>
    </row>
    <row r="1341">
      <c r="P1341" s="6">
        <f>IF($C1341="","",IF(COUNTIF($C$2:$C1341,$C1341)=1,1,0))</f>
        <v/>
      </c>
    </row>
    <row r="1342">
      <c r="P1342" s="6">
        <f>IF($C1342="","",IF(COUNTIF($C$2:$C1342,$C1342)=1,1,0))</f>
        <v/>
      </c>
    </row>
    <row r="1343">
      <c r="P1343" s="6">
        <f>IF($C1343="","",IF(COUNTIF($C$2:$C1343,$C1343)=1,1,0))</f>
        <v/>
      </c>
    </row>
    <row r="1344">
      <c r="P1344" s="6">
        <f>IF($C1344="","",IF(COUNTIF($C$2:$C1344,$C1344)=1,1,0))</f>
        <v/>
      </c>
    </row>
    <row r="1345">
      <c r="P1345" s="6">
        <f>IF($C1345="","",IF(COUNTIF($C$2:$C1345,$C1345)=1,1,0))</f>
        <v/>
      </c>
    </row>
    <row r="1346">
      <c r="P1346" s="6">
        <f>IF($C1346="","",IF(COUNTIF($C$2:$C1346,$C1346)=1,1,0))</f>
        <v/>
      </c>
    </row>
    <row r="1347">
      <c r="P1347" s="6">
        <f>IF($C1347="","",IF(COUNTIF($C$2:$C1347,$C1347)=1,1,0))</f>
        <v/>
      </c>
    </row>
    <row r="1348">
      <c r="P1348" s="6">
        <f>IF($C1348="","",IF(COUNTIF($C$2:$C1348,$C1348)=1,1,0))</f>
        <v/>
      </c>
    </row>
    <row r="1349">
      <c r="P1349" s="6">
        <f>IF($C1349="","",IF(COUNTIF($C$2:$C1349,$C1349)=1,1,0))</f>
        <v/>
      </c>
    </row>
    <row r="1350">
      <c r="P1350" s="6">
        <f>IF($C1350="","",IF(COUNTIF($C$2:$C1350,$C1350)=1,1,0))</f>
        <v/>
      </c>
    </row>
    <row r="1351">
      <c r="P1351" s="6">
        <f>IF($C1351="","",IF(COUNTIF($C$2:$C1351,$C1351)=1,1,0))</f>
        <v/>
      </c>
    </row>
    <row r="1352">
      <c r="P1352" s="6">
        <f>IF($C1352="","",IF(COUNTIF($C$2:$C1352,$C1352)=1,1,0))</f>
        <v/>
      </c>
    </row>
    <row r="1353">
      <c r="P1353" s="6">
        <f>IF($C1353="","",IF(COUNTIF($C$2:$C1353,$C1353)=1,1,0))</f>
        <v/>
      </c>
    </row>
    <row r="1354">
      <c r="P1354" s="6">
        <f>IF($C1354="","",IF(COUNTIF($C$2:$C1354,$C1354)=1,1,0))</f>
        <v/>
      </c>
    </row>
    <row r="1355">
      <c r="P1355" s="6">
        <f>IF($C1355="","",IF(COUNTIF($C$2:$C1355,$C1355)=1,1,0))</f>
        <v/>
      </c>
    </row>
    <row r="1356">
      <c r="P1356" s="6">
        <f>IF($C1356="","",IF(COUNTIF($C$2:$C1356,$C1356)=1,1,0))</f>
        <v/>
      </c>
    </row>
    <row r="1357">
      <c r="P1357" s="6">
        <f>IF($C1357="","",IF(COUNTIF($C$2:$C1357,$C1357)=1,1,0))</f>
        <v/>
      </c>
    </row>
    <row r="1358">
      <c r="P1358" s="6">
        <f>IF($C1358="","",IF(COUNTIF($C$2:$C1358,$C1358)=1,1,0))</f>
        <v/>
      </c>
    </row>
    <row r="1359">
      <c r="P1359" s="6">
        <f>IF($C1359="","",IF(COUNTIF($C$2:$C1359,$C1359)=1,1,0))</f>
        <v/>
      </c>
    </row>
    <row r="1360">
      <c r="P1360" s="6">
        <f>IF($C1360="","",IF(COUNTIF($C$2:$C1360,$C1360)=1,1,0))</f>
        <v/>
      </c>
    </row>
    <row r="1361">
      <c r="P1361" s="6">
        <f>IF($C1361="","",IF(COUNTIF($C$2:$C1361,$C1361)=1,1,0))</f>
        <v/>
      </c>
    </row>
    <row r="1362">
      <c r="P1362" s="6">
        <f>IF($C1362="","",IF(COUNTIF($C$2:$C1362,$C1362)=1,1,0))</f>
        <v/>
      </c>
    </row>
    <row r="1363">
      <c r="P1363" s="6">
        <f>IF($C1363="","",IF(COUNTIF($C$2:$C1363,$C1363)=1,1,0))</f>
        <v/>
      </c>
    </row>
    <row r="1364">
      <c r="P1364" s="6">
        <f>IF($C1364="","",IF(COUNTIF($C$2:$C1364,$C1364)=1,1,0))</f>
        <v/>
      </c>
    </row>
    <row r="1365">
      <c r="P1365" s="6">
        <f>IF($C1365="","",IF(COUNTIF($C$2:$C1365,$C1365)=1,1,0))</f>
        <v/>
      </c>
    </row>
    <row r="1366">
      <c r="P1366" s="6">
        <f>IF($C1366="","",IF(COUNTIF($C$2:$C1366,$C1366)=1,1,0))</f>
        <v/>
      </c>
    </row>
    <row r="1367">
      <c r="P1367" s="6">
        <f>IF($C1367="","",IF(COUNTIF($C$2:$C1367,$C1367)=1,1,0))</f>
        <v/>
      </c>
    </row>
    <row r="1368">
      <c r="P1368" s="6">
        <f>IF($C1368="","",IF(COUNTIF($C$2:$C1368,$C1368)=1,1,0))</f>
        <v/>
      </c>
    </row>
    <row r="1369">
      <c r="P1369" s="6">
        <f>IF($C1369="","",IF(COUNTIF($C$2:$C1369,$C1369)=1,1,0))</f>
        <v/>
      </c>
    </row>
    <row r="1370">
      <c r="P1370" s="6">
        <f>IF($C1370="","",IF(COUNTIF($C$2:$C1370,$C1370)=1,1,0))</f>
        <v/>
      </c>
    </row>
    <row r="1371">
      <c r="P1371" s="6">
        <f>IF($C1371="","",IF(COUNTIF($C$2:$C1371,$C1371)=1,1,0))</f>
        <v/>
      </c>
    </row>
    <row r="1372">
      <c r="P1372" s="6">
        <f>IF($C1372="","",IF(COUNTIF($C$2:$C1372,$C1372)=1,1,0))</f>
        <v/>
      </c>
    </row>
    <row r="1373">
      <c r="P1373" s="6">
        <f>IF($C1373="","",IF(COUNTIF($C$2:$C1373,$C1373)=1,1,0))</f>
        <v/>
      </c>
    </row>
    <row r="1374">
      <c r="P1374" s="6">
        <f>IF($C1374="","",IF(COUNTIF($C$2:$C1374,$C1374)=1,1,0))</f>
        <v/>
      </c>
    </row>
    <row r="1375">
      <c r="P1375" s="6">
        <f>IF($C1375="","",IF(COUNTIF($C$2:$C1375,$C1375)=1,1,0))</f>
        <v/>
      </c>
    </row>
    <row r="1376">
      <c r="P1376" s="6">
        <f>IF($C1376="","",IF(COUNTIF($C$2:$C1376,$C1376)=1,1,0))</f>
        <v/>
      </c>
    </row>
    <row r="1377">
      <c r="P1377" s="6">
        <f>IF($C1377="","",IF(COUNTIF($C$2:$C1377,$C1377)=1,1,0))</f>
        <v/>
      </c>
    </row>
    <row r="1378">
      <c r="P1378" s="6">
        <f>IF($C1378="","",IF(COUNTIF($C$2:$C1378,$C1378)=1,1,0))</f>
        <v/>
      </c>
    </row>
    <row r="1379">
      <c r="P1379" s="6">
        <f>IF($C1379="","",IF(COUNTIF($C$2:$C1379,$C1379)=1,1,0))</f>
        <v/>
      </c>
    </row>
    <row r="1380">
      <c r="P1380" s="6">
        <f>IF($C1380="","",IF(COUNTIF($C$2:$C1380,$C1380)=1,1,0))</f>
        <v/>
      </c>
    </row>
    <row r="1381">
      <c r="P1381" s="6">
        <f>IF($C1381="","",IF(COUNTIF($C$2:$C1381,$C1381)=1,1,0))</f>
        <v/>
      </c>
    </row>
    <row r="1382">
      <c r="P1382" s="6">
        <f>IF($C1382="","",IF(COUNTIF($C$2:$C1382,$C1382)=1,1,0))</f>
        <v/>
      </c>
    </row>
    <row r="1383">
      <c r="P1383" s="6">
        <f>IF($C1383="","",IF(COUNTIF($C$2:$C1383,$C1383)=1,1,0))</f>
        <v/>
      </c>
    </row>
    <row r="1384">
      <c r="P1384" s="6">
        <f>IF($C1384="","",IF(COUNTIF($C$2:$C1384,$C1384)=1,1,0))</f>
        <v/>
      </c>
    </row>
    <row r="1385">
      <c r="P1385" s="6">
        <f>IF($C1385="","",IF(COUNTIF($C$2:$C1385,$C1385)=1,1,0))</f>
        <v/>
      </c>
    </row>
    <row r="1386">
      <c r="P1386" s="6">
        <f>IF($C1386="","",IF(COUNTIF($C$2:$C1386,$C1386)=1,1,0))</f>
        <v/>
      </c>
    </row>
    <row r="1387">
      <c r="P1387" s="6">
        <f>IF($C1387="","",IF(COUNTIF($C$2:$C1387,$C1387)=1,1,0))</f>
        <v/>
      </c>
    </row>
    <row r="1388">
      <c r="P1388" s="6">
        <f>IF($C1388="","",IF(COUNTIF($C$2:$C1388,$C1388)=1,1,0))</f>
        <v/>
      </c>
    </row>
    <row r="1389">
      <c r="P1389" s="6">
        <f>IF($C1389="","",IF(COUNTIF($C$2:$C1389,$C1389)=1,1,0))</f>
        <v/>
      </c>
    </row>
    <row r="1390">
      <c r="P1390" s="6">
        <f>IF($C1390="","",IF(COUNTIF($C$2:$C1390,$C1390)=1,1,0))</f>
        <v/>
      </c>
    </row>
    <row r="1391">
      <c r="P1391" s="6">
        <f>IF($C1391="","",IF(COUNTIF($C$2:$C1391,$C1391)=1,1,0))</f>
        <v/>
      </c>
    </row>
    <row r="1392">
      <c r="P1392" s="6">
        <f>IF($C1392="","",IF(COUNTIF($C$2:$C1392,$C1392)=1,1,0))</f>
        <v/>
      </c>
    </row>
    <row r="1393">
      <c r="P1393" s="6">
        <f>IF($C1393="","",IF(COUNTIF($C$2:$C1393,$C1393)=1,1,0))</f>
        <v/>
      </c>
    </row>
    <row r="1394">
      <c r="P1394" s="6">
        <f>IF($C1394="","",IF(COUNTIF($C$2:$C1394,$C1394)=1,1,0))</f>
        <v/>
      </c>
    </row>
    <row r="1395">
      <c r="P1395" s="6">
        <f>IF($C1395="","",IF(COUNTIF($C$2:$C1395,$C1395)=1,1,0))</f>
        <v/>
      </c>
    </row>
    <row r="1396">
      <c r="P1396" s="6">
        <f>IF($C1396="","",IF(COUNTIF($C$2:$C1396,$C1396)=1,1,0))</f>
        <v/>
      </c>
    </row>
    <row r="1397">
      <c r="P1397" s="6">
        <f>IF($C1397="","",IF(COUNTIF($C$2:$C1397,$C1397)=1,1,0))</f>
        <v/>
      </c>
    </row>
    <row r="1398">
      <c r="P1398" s="6">
        <f>IF($C1398="","",IF(COUNTIF($C$2:$C1398,$C1398)=1,1,0))</f>
        <v/>
      </c>
    </row>
    <row r="1399">
      <c r="P1399" s="6">
        <f>IF($C1399="","",IF(COUNTIF($C$2:$C1399,$C1399)=1,1,0))</f>
        <v/>
      </c>
    </row>
    <row r="1400">
      <c r="P1400" s="6">
        <f>IF($C1400="","",IF(COUNTIF($C$2:$C1400,$C1400)=1,1,0))</f>
        <v/>
      </c>
    </row>
    <row r="1401">
      <c r="P1401" s="6">
        <f>IF($C1401="","",IF(COUNTIF($C$2:$C1401,$C1401)=1,1,0))</f>
        <v/>
      </c>
    </row>
    <row r="1402">
      <c r="P1402" s="6">
        <f>IF($C1402="","",IF(COUNTIF($C$2:$C1402,$C1402)=1,1,0))</f>
        <v/>
      </c>
    </row>
    <row r="1403">
      <c r="P1403" s="6">
        <f>IF($C1403="","",IF(COUNTIF($C$2:$C1403,$C1403)=1,1,0))</f>
        <v/>
      </c>
    </row>
    <row r="1404">
      <c r="P1404" s="6">
        <f>IF($C1404="","",IF(COUNTIF($C$2:$C1404,$C1404)=1,1,0))</f>
        <v/>
      </c>
    </row>
    <row r="1405">
      <c r="P1405" s="6">
        <f>IF($C1405="","",IF(COUNTIF($C$2:$C1405,$C1405)=1,1,0))</f>
        <v/>
      </c>
    </row>
    <row r="1406">
      <c r="P1406" s="6">
        <f>IF($C1406="","",IF(COUNTIF($C$2:$C1406,$C1406)=1,1,0))</f>
        <v/>
      </c>
    </row>
    <row r="1407">
      <c r="P1407" s="6">
        <f>IF($C1407="","",IF(COUNTIF($C$2:$C1407,$C1407)=1,1,0))</f>
        <v/>
      </c>
    </row>
    <row r="1408">
      <c r="P1408" s="6">
        <f>IF($C1408="","",IF(COUNTIF($C$2:$C1408,$C1408)=1,1,0))</f>
        <v/>
      </c>
    </row>
    <row r="1409">
      <c r="P1409" s="6">
        <f>IF($C1409="","",IF(COUNTIF($C$2:$C1409,$C1409)=1,1,0))</f>
        <v/>
      </c>
    </row>
    <row r="1410">
      <c r="P1410" s="6">
        <f>IF($C1410="","",IF(COUNTIF($C$2:$C1410,$C1410)=1,1,0))</f>
        <v/>
      </c>
    </row>
    <row r="1411">
      <c r="P1411" s="6">
        <f>IF($C1411="","",IF(COUNTIF($C$2:$C1411,$C1411)=1,1,0))</f>
        <v/>
      </c>
    </row>
    <row r="1412">
      <c r="P1412" s="6">
        <f>IF($C1412="","",IF(COUNTIF($C$2:$C1412,$C1412)=1,1,0))</f>
        <v/>
      </c>
    </row>
    <row r="1413">
      <c r="P1413" s="6">
        <f>IF($C1413="","",IF(COUNTIF($C$2:$C1413,$C1413)=1,1,0))</f>
        <v/>
      </c>
    </row>
    <row r="1414">
      <c r="P1414" s="6">
        <f>IF($C1414="","",IF(COUNTIF($C$2:$C1414,$C1414)=1,1,0))</f>
        <v/>
      </c>
    </row>
    <row r="1415">
      <c r="P1415" s="6">
        <f>IF($C1415="","",IF(COUNTIF($C$2:$C1415,$C1415)=1,1,0))</f>
        <v/>
      </c>
    </row>
    <row r="1416">
      <c r="P1416" s="6">
        <f>IF($C1416="","",IF(COUNTIF($C$2:$C1416,$C1416)=1,1,0))</f>
        <v/>
      </c>
    </row>
    <row r="1417">
      <c r="P1417" s="6">
        <f>IF($C1417="","",IF(COUNTIF($C$2:$C1417,$C1417)=1,1,0))</f>
        <v/>
      </c>
    </row>
    <row r="1418">
      <c r="P1418" s="6">
        <f>IF($C1418="","",IF(COUNTIF($C$2:$C1418,$C1418)=1,1,0))</f>
        <v/>
      </c>
    </row>
    <row r="1419">
      <c r="P1419" s="6">
        <f>IF($C1419="","",IF(COUNTIF($C$2:$C1419,$C1419)=1,1,0))</f>
        <v/>
      </c>
    </row>
    <row r="1420">
      <c r="P1420" s="6">
        <f>IF($C1420="","",IF(COUNTIF($C$2:$C1420,$C1420)=1,1,0))</f>
        <v/>
      </c>
    </row>
    <row r="1421">
      <c r="P1421" s="6">
        <f>IF($C1421="","",IF(COUNTIF($C$2:$C1421,$C1421)=1,1,0))</f>
        <v/>
      </c>
    </row>
    <row r="1422">
      <c r="P1422" s="6">
        <f>IF($C1422="","",IF(COUNTIF($C$2:$C1422,$C1422)=1,1,0))</f>
        <v/>
      </c>
    </row>
    <row r="1423">
      <c r="P1423" s="6">
        <f>IF($C1423="","",IF(COUNTIF($C$2:$C1423,$C1423)=1,1,0))</f>
        <v/>
      </c>
    </row>
    <row r="1424">
      <c r="P1424" s="6">
        <f>IF($C1424="","",IF(COUNTIF($C$2:$C1424,$C1424)=1,1,0))</f>
        <v/>
      </c>
    </row>
    <row r="1425">
      <c r="P1425" s="6">
        <f>IF($C1425="","",IF(COUNTIF($C$2:$C1425,$C1425)=1,1,0))</f>
        <v/>
      </c>
    </row>
    <row r="1426">
      <c r="P1426" s="6">
        <f>IF($C1426="","",IF(COUNTIF($C$2:$C1426,$C1426)=1,1,0))</f>
        <v/>
      </c>
    </row>
    <row r="1427">
      <c r="P1427" s="6">
        <f>IF($C1427="","",IF(COUNTIF($C$2:$C1427,$C1427)=1,1,0))</f>
        <v/>
      </c>
    </row>
    <row r="1428">
      <c r="P1428" s="6">
        <f>IF($C1428="","",IF(COUNTIF($C$2:$C1428,$C1428)=1,1,0))</f>
        <v/>
      </c>
    </row>
    <row r="1429">
      <c r="P1429" s="6">
        <f>IF($C1429="","",IF(COUNTIF($C$2:$C1429,$C1429)=1,1,0))</f>
        <v/>
      </c>
    </row>
    <row r="1430">
      <c r="P1430" s="6">
        <f>IF($C1430="","",IF(COUNTIF($C$2:$C1430,$C1430)=1,1,0))</f>
        <v/>
      </c>
    </row>
    <row r="1431">
      <c r="P1431" s="6">
        <f>IF($C1431="","",IF(COUNTIF($C$2:$C1431,$C1431)=1,1,0))</f>
        <v/>
      </c>
    </row>
    <row r="1432">
      <c r="P1432" s="6">
        <f>IF($C1432="","",IF(COUNTIF($C$2:$C1432,$C1432)=1,1,0))</f>
        <v/>
      </c>
    </row>
    <row r="1433">
      <c r="P1433" s="6">
        <f>IF($C1433="","",IF(COUNTIF($C$2:$C1433,$C1433)=1,1,0))</f>
        <v/>
      </c>
    </row>
    <row r="1434">
      <c r="P1434" s="6">
        <f>IF($C1434="","",IF(COUNTIF($C$2:$C1434,$C1434)=1,1,0))</f>
        <v/>
      </c>
    </row>
    <row r="1435">
      <c r="P1435" s="6">
        <f>IF($C1435="","",IF(COUNTIF($C$2:$C1435,$C1435)=1,1,0))</f>
        <v/>
      </c>
    </row>
    <row r="1436">
      <c r="P1436" s="6">
        <f>IF($C1436="","",IF(COUNTIF($C$2:$C1436,$C1436)=1,1,0))</f>
        <v/>
      </c>
    </row>
    <row r="1437">
      <c r="P1437" s="6">
        <f>IF($C1437="","",IF(COUNTIF($C$2:$C1437,$C1437)=1,1,0))</f>
        <v/>
      </c>
    </row>
    <row r="1438">
      <c r="P1438" s="6">
        <f>IF($C1438="","",IF(COUNTIF($C$2:$C1438,$C1438)=1,1,0))</f>
        <v/>
      </c>
    </row>
    <row r="1439">
      <c r="P1439" s="6">
        <f>IF($C1439="","",IF(COUNTIF($C$2:$C1439,$C1439)=1,1,0))</f>
        <v/>
      </c>
    </row>
    <row r="1440">
      <c r="P1440" s="6">
        <f>IF($C1440="","",IF(COUNTIF($C$2:$C1440,$C1440)=1,1,0))</f>
        <v/>
      </c>
    </row>
    <row r="1441">
      <c r="P1441" s="6">
        <f>IF($C1441="","",IF(COUNTIF($C$2:$C1441,$C1441)=1,1,0))</f>
        <v/>
      </c>
    </row>
    <row r="1442">
      <c r="P1442" s="6">
        <f>IF($C1442="","",IF(COUNTIF($C$2:$C1442,$C1442)=1,1,0))</f>
        <v/>
      </c>
    </row>
    <row r="1443">
      <c r="P1443" s="6">
        <f>IF($C1443="","",IF(COUNTIF($C$2:$C1443,$C1443)=1,1,0))</f>
        <v/>
      </c>
    </row>
    <row r="1444">
      <c r="P1444" s="6">
        <f>IF($C1444="","",IF(COUNTIF($C$2:$C1444,$C1444)=1,1,0))</f>
        <v/>
      </c>
    </row>
    <row r="1445">
      <c r="P1445" s="6">
        <f>IF($C1445="","",IF(COUNTIF($C$2:$C1445,$C1445)=1,1,0))</f>
        <v/>
      </c>
    </row>
    <row r="1446">
      <c r="P1446" s="6">
        <f>IF($C1446="","",IF(COUNTIF($C$2:$C1446,$C1446)=1,1,0))</f>
        <v/>
      </c>
    </row>
    <row r="1447">
      <c r="P1447" s="6">
        <f>IF($C1447="","",IF(COUNTIF($C$2:$C1447,$C1447)=1,1,0))</f>
        <v/>
      </c>
    </row>
    <row r="1448">
      <c r="P1448" s="6">
        <f>IF($C1448="","",IF(COUNTIF($C$2:$C1448,$C1448)=1,1,0))</f>
        <v/>
      </c>
    </row>
    <row r="1449">
      <c r="P1449" s="6">
        <f>IF($C1449="","",IF(COUNTIF($C$2:$C1449,$C1449)=1,1,0))</f>
        <v/>
      </c>
    </row>
    <row r="1450">
      <c r="P1450" s="6">
        <f>IF($C1450="","",IF(COUNTIF($C$2:$C1450,$C1450)=1,1,0))</f>
        <v/>
      </c>
    </row>
    <row r="1451">
      <c r="P1451" s="6">
        <f>IF($C1451="","",IF(COUNTIF($C$2:$C1451,$C1451)=1,1,0))</f>
        <v/>
      </c>
    </row>
    <row r="1452">
      <c r="P1452" s="6">
        <f>IF($C1452="","",IF(COUNTIF($C$2:$C1452,$C1452)=1,1,0))</f>
        <v/>
      </c>
    </row>
    <row r="1453">
      <c r="P1453" s="6">
        <f>IF($C1453="","",IF(COUNTIF($C$2:$C1453,$C1453)=1,1,0))</f>
        <v/>
      </c>
    </row>
    <row r="1454">
      <c r="P1454" s="6">
        <f>IF($C1454="","",IF(COUNTIF($C$2:$C1454,$C1454)=1,1,0))</f>
        <v/>
      </c>
    </row>
    <row r="1455">
      <c r="P1455" s="6">
        <f>IF($C1455="","",IF(COUNTIF($C$2:$C1455,$C1455)=1,1,0))</f>
        <v/>
      </c>
    </row>
    <row r="1456">
      <c r="P1456" s="6">
        <f>IF($C1456="","",IF(COUNTIF($C$2:$C1456,$C1456)=1,1,0))</f>
        <v/>
      </c>
    </row>
    <row r="1457">
      <c r="P1457" s="6">
        <f>IF($C1457="","",IF(COUNTIF($C$2:$C1457,$C1457)=1,1,0))</f>
        <v/>
      </c>
    </row>
    <row r="1458">
      <c r="P1458" s="6">
        <f>IF($C1458="","",IF(COUNTIF($C$2:$C1458,$C1458)=1,1,0))</f>
        <v/>
      </c>
    </row>
    <row r="1459">
      <c r="P1459" s="6">
        <f>IF($C1459="","",IF(COUNTIF($C$2:$C1459,$C1459)=1,1,0))</f>
        <v/>
      </c>
    </row>
    <row r="1460">
      <c r="P1460" s="6">
        <f>IF($C1460="","",IF(COUNTIF($C$2:$C1460,$C1460)=1,1,0))</f>
        <v/>
      </c>
    </row>
    <row r="1461">
      <c r="P1461" s="6">
        <f>IF($C1461="","",IF(COUNTIF($C$2:$C1461,$C1461)=1,1,0))</f>
        <v/>
      </c>
    </row>
    <row r="1462">
      <c r="P1462" s="6">
        <f>IF($C1462="","",IF(COUNTIF($C$2:$C1462,$C1462)=1,1,0))</f>
        <v/>
      </c>
    </row>
    <row r="1463">
      <c r="P1463" s="6">
        <f>IF($C1463="","",IF(COUNTIF($C$2:$C1463,$C1463)=1,1,0))</f>
        <v/>
      </c>
    </row>
    <row r="1464">
      <c r="P1464" s="6">
        <f>IF($C1464="","",IF(COUNTIF($C$2:$C1464,$C1464)=1,1,0))</f>
        <v/>
      </c>
    </row>
    <row r="1465">
      <c r="P1465" s="6">
        <f>IF($C1465="","",IF(COUNTIF($C$2:$C1465,$C1465)=1,1,0))</f>
        <v/>
      </c>
    </row>
    <row r="1466">
      <c r="P1466" s="6">
        <f>IF($C1466="","",IF(COUNTIF($C$2:$C1466,$C1466)=1,1,0))</f>
        <v/>
      </c>
    </row>
    <row r="1467">
      <c r="P1467" s="6">
        <f>IF($C1467="","",IF(COUNTIF($C$2:$C1467,$C1467)=1,1,0))</f>
        <v/>
      </c>
    </row>
    <row r="1468">
      <c r="P1468" s="6">
        <f>IF($C1468="","",IF(COUNTIF($C$2:$C1468,$C1468)=1,1,0))</f>
        <v/>
      </c>
    </row>
    <row r="1469">
      <c r="P1469" s="6">
        <f>IF($C1469="","",IF(COUNTIF($C$2:$C1469,$C1469)=1,1,0))</f>
        <v/>
      </c>
    </row>
    <row r="1470">
      <c r="P1470" s="6">
        <f>IF($C1470="","",IF(COUNTIF($C$2:$C1470,$C1470)=1,1,0))</f>
        <v/>
      </c>
    </row>
    <row r="1471">
      <c r="P1471" s="6">
        <f>IF($C1471="","",IF(COUNTIF($C$2:$C1471,$C1471)=1,1,0))</f>
        <v/>
      </c>
    </row>
    <row r="1472">
      <c r="P1472" s="6">
        <f>IF($C1472="","",IF(COUNTIF($C$2:$C1472,$C1472)=1,1,0))</f>
        <v/>
      </c>
    </row>
    <row r="1473">
      <c r="P1473" s="6">
        <f>IF($C1473="","",IF(COUNTIF($C$2:$C1473,$C1473)=1,1,0))</f>
        <v/>
      </c>
    </row>
    <row r="1474">
      <c r="P1474" s="6">
        <f>IF($C1474="","",IF(COUNTIF($C$2:$C1474,$C1474)=1,1,0))</f>
        <v/>
      </c>
    </row>
    <row r="1475">
      <c r="P1475" s="6">
        <f>IF($C1475="","",IF(COUNTIF($C$2:$C1475,$C1475)=1,1,0))</f>
        <v/>
      </c>
    </row>
    <row r="1476">
      <c r="P1476" s="6">
        <f>IF($C1476="","",IF(COUNTIF($C$2:$C1476,$C1476)=1,1,0))</f>
        <v/>
      </c>
    </row>
    <row r="1477">
      <c r="P1477" s="6">
        <f>IF($C1477="","",IF(COUNTIF($C$2:$C1477,$C1477)=1,1,0))</f>
        <v/>
      </c>
    </row>
    <row r="1478">
      <c r="P1478" s="6">
        <f>IF($C1478="","",IF(COUNTIF($C$2:$C1478,$C1478)=1,1,0))</f>
        <v/>
      </c>
    </row>
    <row r="1479">
      <c r="P1479" s="6">
        <f>IF($C1479="","",IF(COUNTIF($C$2:$C1479,$C1479)=1,1,0))</f>
        <v/>
      </c>
    </row>
    <row r="1480">
      <c r="P1480" s="6">
        <f>IF($C1480="","",IF(COUNTIF($C$2:$C1480,$C1480)=1,1,0))</f>
        <v/>
      </c>
    </row>
    <row r="1481">
      <c r="P1481" s="6">
        <f>IF($C1481="","",IF(COUNTIF($C$2:$C1481,$C1481)=1,1,0))</f>
        <v/>
      </c>
    </row>
    <row r="1482">
      <c r="P1482" s="6">
        <f>IF($C1482="","",IF(COUNTIF($C$2:$C1482,$C1482)=1,1,0))</f>
        <v/>
      </c>
    </row>
    <row r="1483">
      <c r="P1483" s="6">
        <f>IF($C1483="","",IF(COUNTIF($C$2:$C1483,$C1483)=1,1,0))</f>
        <v/>
      </c>
    </row>
    <row r="1484">
      <c r="P1484" s="6">
        <f>IF($C1484="","",IF(COUNTIF($C$2:$C1484,$C1484)=1,1,0))</f>
        <v/>
      </c>
    </row>
    <row r="1485">
      <c r="P1485" s="6">
        <f>IF($C1485="","",IF(COUNTIF($C$2:$C1485,$C1485)=1,1,0))</f>
        <v/>
      </c>
    </row>
    <row r="1486">
      <c r="P1486" s="6">
        <f>IF($C1486="","",IF(COUNTIF($C$2:$C1486,$C1486)=1,1,0))</f>
        <v/>
      </c>
    </row>
    <row r="1487">
      <c r="P1487" s="6">
        <f>IF($C1487="","",IF(COUNTIF($C$2:$C1487,$C1487)=1,1,0))</f>
        <v/>
      </c>
    </row>
    <row r="1488">
      <c r="P1488" s="6">
        <f>IF($C1488="","",IF(COUNTIF($C$2:$C1488,$C1488)=1,1,0))</f>
        <v/>
      </c>
    </row>
    <row r="1489">
      <c r="P1489" s="6">
        <f>IF($C1489="","",IF(COUNTIF($C$2:$C1489,$C1489)=1,1,0))</f>
        <v/>
      </c>
    </row>
    <row r="1490">
      <c r="P1490" s="6">
        <f>IF($C1490="","",IF(COUNTIF($C$2:$C1490,$C1490)=1,1,0))</f>
        <v/>
      </c>
    </row>
    <row r="1491">
      <c r="P1491" s="6">
        <f>IF($C1491="","",IF(COUNTIF($C$2:$C1491,$C1491)=1,1,0))</f>
        <v/>
      </c>
    </row>
    <row r="1492">
      <c r="P1492" s="6">
        <f>IF($C1492="","",IF(COUNTIF($C$2:$C1492,$C1492)=1,1,0))</f>
        <v/>
      </c>
    </row>
    <row r="1493">
      <c r="P1493" s="6">
        <f>IF($C1493="","",IF(COUNTIF($C$2:$C1493,$C1493)=1,1,0))</f>
        <v/>
      </c>
    </row>
    <row r="1494">
      <c r="P1494" s="6">
        <f>IF($C1494="","",IF(COUNTIF($C$2:$C1494,$C1494)=1,1,0))</f>
        <v/>
      </c>
    </row>
    <row r="1495">
      <c r="P1495" s="6">
        <f>IF($C1495="","",IF(COUNTIF($C$2:$C1495,$C1495)=1,1,0))</f>
        <v/>
      </c>
    </row>
    <row r="1496">
      <c r="P1496" s="6">
        <f>IF($C1496="","",IF(COUNTIF($C$2:$C1496,$C1496)=1,1,0))</f>
        <v/>
      </c>
    </row>
    <row r="1497">
      <c r="P1497" s="6">
        <f>IF($C1497="","",IF(COUNTIF($C$2:$C1497,$C1497)=1,1,0))</f>
        <v/>
      </c>
    </row>
    <row r="1498">
      <c r="P1498" s="6">
        <f>IF($C1498="","",IF(COUNTIF($C$2:$C1498,$C1498)=1,1,0))</f>
        <v/>
      </c>
    </row>
    <row r="1499">
      <c r="P1499" s="6">
        <f>IF($C1499="","",IF(COUNTIF($C$2:$C1499,$C1499)=1,1,0))</f>
        <v/>
      </c>
    </row>
    <row r="1500">
      <c r="P1500" s="6">
        <f>IF($C1500="","",IF(COUNTIF($C$2:$C1500,$C1500)=1,1,0))</f>
        <v/>
      </c>
    </row>
    <row r="1501">
      <c r="P1501" s="6">
        <f>IF($C1501="","",IF(COUNTIF($C$2:$C1501,$C1501)=1,1,0))</f>
        <v/>
      </c>
    </row>
    <row r="1502">
      <c r="P1502" s="6">
        <f>IF($C1502="","",IF(COUNTIF($C$2:$C1502,$C1502)=1,1,0))</f>
        <v/>
      </c>
    </row>
    <row r="1503">
      <c r="P1503" s="6">
        <f>IF($C1503="","",IF(COUNTIF($C$2:$C1503,$C1503)=1,1,0))</f>
        <v/>
      </c>
    </row>
    <row r="1504">
      <c r="P1504" s="6">
        <f>IF($C1504="","",IF(COUNTIF($C$2:$C1504,$C1504)=1,1,0))</f>
        <v/>
      </c>
    </row>
    <row r="1505">
      <c r="P1505" s="6">
        <f>IF($C1505="","",IF(COUNTIF($C$2:$C1505,$C1505)=1,1,0))</f>
        <v/>
      </c>
    </row>
    <row r="1506">
      <c r="P1506" s="6">
        <f>IF($C1506="","",IF(COUNTIF($C$2:$C1506,$C1506)=1,1,0))</f>
        <v/>
      </c>
    </row>
    <row r="1507">
      <c r="P1507" s="6">
        <f>IF($C1507="","",IF(COUNTIF($C$2:$C1507,$C1507)=1,1,0))</f>
        <v/>
      </c>
    </row>
    <row r="1508">
      <c r="P1508" s="6">
        <f>IF($C1508="","",IF(COUNTIF($C$2:$C1508,$C1508)=1,1,0))</f>
        <v/>
      </c>
    </row>
    <row r="1509">
      <c r="P1509" s="6">
        <f>IF($C1509="","",IF(COUNTIF($C$2:$C1509,$C1509)=1,1,0))</f>
        <v/>
      </c>
    </row>
    <row r="1510">
      <c r="P1510" s="6">
        <f>IF($C1510="","",IF(COUNTIF($C$2:$C1510,$C1510)=1,1,0))</f>
        <v/>
      </c>
    </row>
    <row r="1511">
      <c r="P1511" s="6">
        <f>IF($C1511="","",IF(COUNTIF($C$2:$C1511,$C1511)=1,1,0))</f>
        <v/>
      </c>
    </row>
    <row r="1512">
      <c r="P1512" s="6">
        <f>IF($C1512="","",IF(COUNTIF($C$2:$C1512,$C1512)=1,1,0))</f>
        <v/>
      </c>
    </row>
    <row r="1513">
      <c r="P1513" s="6">
        <f>IF($C1513="","",IF(COUNTIF($C$2:$C1513,$C1513)=1,1,0))</f>
        <v/>
      </c>
    </row>
    <row r="1514">
      <c r="P1514" s="6">
        <f>IF($C1514="","",IF(COUNTIF($C$2:$C1514,$C1514)=1,1,0))</f>
        <v/>
      </c>
    </row>
    <row r="1515">
      <c r="P1515" s="6">
        <f>IF($C1515="","",IF(COUNTIF($C$2:$C1515,$C1515)=1,1,0))</f>
        <v/>
      </c>
    </row>
    <row r="1516">
      <c r="P1516" s="6">
        <f>IF($C1516="","",IF(COUNTIF($C$2:$C1516,$C1516)=1,1,0))</f>
        <v/>
      </c>
    </row>
    <row r="1517">
      <c r="P1517" s="6">
        <f>IF($C1517="","",IF(COUNTIF($C$2:$C1517,$C1517)=1,1,0))</f>
        <v/>
      </c>
    </row>
    <row r="1518">
      <c r="P1518" s="6">
        <f>IF($C1518="","",IF(COUNTIF($C$2:$C1518,$C1518)=1,1,0))</f>
        <v/>
      </c>
    </row>
    <row r="1519">
      <c r="P1519" s="6">
        <f>IF($C1519="","",IF(COUNTIF($C$2:$C1519,$C1519)=1,1,0))</f>
        <v/>
      </c>
    </row>
    <row r="1520">
      <c r="P1520" s="6">
        <f>IF($C1520="","",IF(COUNTIF($C$2:$C1520,$C1520)=1,1,0))</f>
        <v/>
      </c>
    </row>
    <row r="1521">
      <c r="P1521" s="6">
        <f>IF($C1521="","",IF(COUNTIF($C$2:$C1521,$C1521)=1,1,0))</f>
        <v/>
      </c>
    </row>
    <row r="1522">
      <c r="P1522" s="6">
        <f>IF($C1522="","",IF(COUNTIF($C$2:$C1522,$C1522)=1,1,0))</f>
        <v/>
      </c>
    </row>
    <row r="1523">
      <c r="P1523" s="6">
        <f>IF($C1523="","",IF(COUNTIF($C$2:$C1523,$C1523)=1,1,0))</f>
        <v/>
      </c>
    </row>
    <row r="1524">
      <c r="P1524" s="6">
        <f>IF($C1524="","",IF(COUNTIF($C$2:$C1524,$C1524)=1,1,0))</f>
        <v/>
      </c>
    </row>
    <row r="1525">
      <c r="P1525" s="6">
        <f>IF($C1525="","",IF(COUNTIF($C$2:$C1525,$C1525)=1,1,0))</f>
        <v/>
      </c>
    </row>
    <row r="1526">
      <c r="P1526" s="6">
        <f>IF($C1526="","",IF(COUNTIF($C$2:$C1526,$C1526)=1,1,0))</f>
        <v/>
      </c>
    </row>
    <row r="1527">
      <c r="P1527" s="6">
        <f>IF($C1527="","",IF(COUNTIF($C$2:$C1527,$C1527)=1,1,0))</f>
        <v/>
      </c>
    </row>
    <row r="1528">
      <c r="P1528" s="6">
        <f>IF($C1528="","",IF(COUNTIF($C$2:$C1528,$C1528)=1,1,0))</f>
        <v/>
      </c>
    </row>
    <row r="1529">
      <c r="P1529" s="6">
        <f>IF($C1529="","",IF(COUNTIF($C$2:$C1529,$C1529)=1,1,0))</f>
        <v/>
      </c>
    </row>
    <row r="1530">
      <c r="P1530" s="6">
        <f>IF($C1530="","",IF(COUNTIF($C$2:$C1530,$C1530)=1,1,0))</f>
        <v/>
      </c>
    </row>
    <row r="1531">
      <c r="P1531" s="6">
        <f>IF($C1531="","",IF(COUNTIF($C$2:$C1531,$C1531)=1,1,0))</f>
        <v/>
      </c>
    </row>
    <row r="1532">
      <c r="P1532" s="6">
        <f>IF($C1532="","",IF(COUNTIF($C$2:$C1532,$C1532)=1,1,0))</f>
        <v/>
      </c>
    </row>
    <row r="1533">
      <c r="P1533" s="6">
        <f>IF($C1533="","",IF(COUNTIF($C$2:$C1533,$C1533)=1,1,0))</f>
        <v/>
      </c>
    </row>
    <row r="1534">
      <c r="P1534" s="6">
        <f>IF($C1534="","",IF(COUNTIF($C$2:$C1534,$C1534)=1,1,0))</f>
        <v/>
      </c>
    </row>
    <row r="1535">
      <c r="P1535" s="6">
        <f>IF($C1535="","",IF(COUNTIF($C$2:$C1535,$C1535)=1,1,0))</f>
        <v/>
      </c>
    </row>
    <row r="1536">
      <c r="P1536" s="6">
        <f>IF($C1536="","",IF(COUNTIF($C$2:$C1536,$C1536)=1,1,0))</f>
        <v/>
      </c>
    </row>
    <row r="1537">
      <c r="P1537" s="6">
        <f>IF($C1537="","",IF(COUNTIF($C$2:$C1537,$C1537)=1,1,0))</f>
        <v/>
      </c>
    </row>
    <row r="1538">
      <c r="P1538" s="6">
        <f>IF($C1538="","",IF(COUNTIF($C$2:$C1538,$C1538)=1,1,0))</f>
        <v/>
      </c>
    </row>
    <row r="1539">
      <c r="P1539" s="6">
        <f>IF($C1539="","",IF(COUNTIF($C$2:$C1539,$C1539)=1,1,0))</f>
        <v/>
      </c>
    </row>
    <row r="1540">
      <c r="P1540" s="6">
        <f>IF($C1540="","",IF(COUNTIF($C$2:$C1540,$C1540)=1,1,0))</f>
        <v/>
      </c>
    </row>
    <row r="1541">
      <c r="P1541" s="6">
        <f>IF($C1541="","",IF(COUNTIF($C$2:$C1541,$C1541)=1,1,0))</f>
        <v/>
      </c>
    </row>
    <row r="1542">
      <c r="P1542" s="6">
        <f>IF($C1542="","",IF(COUNTIF($C$2:$C1542,$C1542)=1,1,0))</f>
        <v/>
      </c>
    </row>
    <row r="1543">
      <c r="P1543" s="6">
        <f>IF($C1543="","",IF(COUNTIF($C$2:$C1543,$C1543)=1,1,0))</f>
        <v/>
      </c>
    </row>
    <row r="1544">
      <c r="P1544" s="6">
        <f>IF($C1544="","",IF(COUNTIF($C$2:$C1544,$C1544)=1,1,0))</f>
        <v/>
      </c>
    </row>
    <row r="1545">
      <c r="P1545" s="6">
        <f>IF($C1545="","",IF(COUNTIF($C$2:$C1545,$C1545)=1,1,0))</f>
        <v/>
      </c>
    </row>
    <row r="1546">
      <c r="P1546" s="6">
        <f>IF($C1546="","",IF(COUNTIF($C$2:$C1546,$C1546)=1,1,0))</f>
        <v/>
      </c>
    </row>
    <row r="1547">
      <c r="P1547" s="6">
        <f>IF($C1547="","",IF(COUNTIF($C$2:$C1547,$C1547)=1,1,0))</f>
        <v/>
      </c>
    </row>
    <row r="1548">
      <c r="P1548" s="6">
        <f>IF($C1548="","",IF(COUNTIF($C$2:$C1548,$C1548)=1,1,0))</f>
        <v/>
      </c>
    </row>
    <row r="1549">
      <c r="P1549" s="6">
        <f>IF($C1549="","",IF(COUNTIF($C$2:$C1549,$C1549)=1,1,0))</f>
        <v/>
      </c>
    </row>
    <row r="1550">
      <c r="P1550" s="6">
        <f>IF($C1550="","",IF(COUNTIF($C$2:$C1550,$C1550)=1,1,0))</f>
        <v/>
      </c>
    </row>
    <row r="1551">
      <c r="P1551" s="6">
        <f>IF($C1551="","",IF(COUNTIF($C$2:$C1551,$C1551)=1,1,0))</f>
        <v/>
      </c>
    </row>
    <row r="1552">
      <c r="P1552" s="6">
        <f>IF($C1552="","",IF(COUNTIF($C$2:$C1552,$C1552)=1,1,0))</f>
        <v/>
      </c>
    </row>
    <row r="1553">
      <c r="P1553" s="6">
        <f>IF($C1553="","",IF(COUNTIF($C$2:$C1553,$C1553)=1,1,0))</f>
        <v/>
      </c>
    </row>
    <row r="1554">
      <c r="P1554" s="6">
        <f>IF($C1554="","",IF(COUNTIF($C$2:$C1554,$C1554)=1,1,0))</f>
        <v/>
      </c>
    </row>
    <row r="1555">
      <c r="P1555" s="6">
        <f>IF($C1555="","",IF(COUNTIF($C$2:$C1555,$C1555)=1,1,0))</f>
        <v/>
      </c>
    </row>
    <row r="1556">
      <c r="P1556" s="6">
        <f>IF($C1556="","",IF(COUNTIF($C$2:$C1556,$C1556)=1,1,0))</f>
        <v/>
      </c>
    </row>
    <row r="1557">
      <c r="P1557" s="6">
        <f>IF($C1557="","",IF(COUNTIF($C$2:$C1557,$C1557)=1,1,0))</f>
        <v/>
      </c>
    </row>
    <row r="1558">
      <c r="P1558" s="6">
        <f>IF($C1558="","",IF(COUNTIF($C$2:$C1558,$C1558)=1,1,0))</f>
        <v/>
      </c>
    </row>
    <row r="1559">
      <c r="P1559" s="6">
        <f>IF($C1559="","",IF(COUNTIF($C$2:$C1559,$C1559)=1,1,0))</f>
        <v/>
      </c>
    </row>
    <row r="1560">
      <c r="P1560" s="6">
        <f>IF($C1560="","",IF(COUNTIF($C$2:$C1560,$C1560)=1,1,0))</f>
        <v/>
      </c>
    </row>
    <row r="1561">
      <c r="P1561" s="6">
        <f>IF($C1561="","",IF(COUNTIF($C$2:$C1561,$C1561)=1,1,0))</f>
        <v/>
      </c>
    </row>
    <row r="1562">
      <c r="P1562" s="6">
        <f>IF($C1562="","",IF(COUNTIF($C$2:$C1562,$C1562)=1,1,0))</f>
        <v/>
      </c>
    </row>
    <row r="1563">
      <c r="P1563" s="6">
        <f>IF($C1563="","",IF(COUNTIF($C$2:$C1563,$C1563)=1,1,0))</f>
        <v/>
      </c>
    </row>
    <row r="1564">
      <c r="P1564" s="6">
        <f>IF($C1564="","",IF(COUNTIF($C$2:$C1564,$C1564)=1,1,0))</f>
        <v/>
      </c>
    </row>
    <row r="1565">
      <c r="P1565" s="6">
        <f>IF($C1565="","",IF(COUNTIF($C$2:$C1565,$C1565)=1,1,0))</f>
        <v/>
      </c>
    </row>
    <row r="1566">
      <c r="P1566" s="6">
        <f>IF($C1566="","",IF(COUNTIF($C$2:$C1566,$C1566)=1,1,0))</f>
        <v/>
      </c>
    </row>
    <row r="1567">
      <c r="P1567" s="6">
        <f>IF($C1567="","",IF(COUNTIF($C$2:$C1567,$C1567)=1,1,0))</f>
        <v/>
      </c>
    </row>
    <row r="1568">
      <c r="P1568" s="6">
        <f>IF($C1568="","",IF(COUNTIF($C$2:$C1568,$C1568)=1,1,0))</f>
        <v/>
      </c>
    </row>
    <row r="1569">
      <c r="P1569" s="6">
        <f>IF($C1569="","",IF(COUNTIF($C$2:$C1569,$C1569)=1,1,0))</f>
        <v/>
      </c>
    </row>
    <row r="1570">
      <c r="P1570" s="6">
        <f>IF($C1570="","",IF(COUNTIF($C$2:$C1570,$C1570)=1,1,0))</f>
        <v/>
      </c>
    </row>
    <row r="1571">
      <c r="P1571" s="6">
        <f>IF($C1571="","",IF(COUNTIF($C$2:$C1571,$C1571)=1,1,0))</f>
        <v/>
      </c>
    </row>
    <row r="1572">
      <c r="P1572" s="6">
        <f>IF($C1572="","",IF(COUNTIF($C$2:$C1572,$C1572)=1,1,0))</f>
        <v/>
      </c>
    </row>
    <row r="1573">
      <c r="P1573" s="6">
        <f>IF($C1573="","",IF(COUNTIF($C$2:$C1573,$C1573)=1,1,0))</f>
        <v/>
      </c>
    </row>
    <row r="1574">
      <c r="P1574" s="6">
        <f>IF($C1574="","",IF(COUNTIF($C$2:$C1574,$C1574)=1,1,0))</f>
        <v/>
      </c>
    </row>
    <row r="1575">
      <c r="P1575" s="6">
        <f>IF($C1575="","",IF(COUNTIF($C$2:$C1575,$C1575)=1,1,0))</f>
        <v/>
      </c>
    </row>
    <row r="1576">
      <c r="P1576" s="6">
        <f>IF($C1576="","",IF(COUNTIF($C$2:$C1576,$C1576)=1,1,0))</f>
        <v/>
      </c>
    </row>
    <row r="1577">
      <c r="P1577" s="6">
        <f>IF($C1577="","",IF(COUNTIF($C$2:$C1577,$C1577)=1,1,0))</f>
        <v/>
      </c>
    </row>
    <row r="1578">
      <c r="P1578" s="6">
        <f>IF($C1578="","",IF(COUNTIF($C$2:$C1578,$C1578)=1,1,0))</f>
        <v/>
      </c>
    </row>
    <row r="1579">
      <c r="P1579" s="6">
        <f>IF($C1579="","",IF(COUNTIF($C$2:$C1579,$C1579)=1,1,0))</f>
        <v/>
      </c>
    </row>
    <row r="1580">
      <c r="P1580" s="6">
        <f>IF($C1580="","",IF(COUNTIF($C$2:$C1580,$C1580)=1,1,0))</f>
        <v/>
      </c>
    </row>
    <row r="1581">
      <c r="P1581" s="6">
        <f>IF($C1581="","",IF(COUNTIF($C$2:$C1581,$C1581)=1,1,0))</f>
        <v/>
      </c>
    </row>
    <row r="1582">
      <c r="P1582" s="6">
        <f>IF($C1582="","",IF(COUNTIF($C$2:$C1582,$C1582)=1,1,0))</f>
        <v/>
      </c>
    </row>
    <row r="1583">
      <c r="P1583" s="6">
        <f>IF($C1583="","",IF(COUNTIF($C$2:$C1583,$C1583)=1,1,0))</f>
        <v/>
      </c>
    </row>
    <row r="1584">
      <c r="P1584" s="6">
        <f>IF($C1584="","",IF(COUNTIF($C$2:$C1584,$C1584)=1,1,0))</f>
        <v/>
      </c>
    </row>
    <row r="1585">
      <c r="P1585" s="6">
        <f>IF($C1585="","",IF(COUNTIF($C$2:$C1585,$C1585)=1,1,0))</f>
        <v/>
      </c>
    </row>
    <row r="1586">
      <c r="P1586" s="6">
        <f>IF($C1586="","",IF(COUNTIF($C$2:$C1586,$C1586)=1,1,0))</f>
        <v/>
      </c>
    </row>
    <row r="1587">
      <c r="P1587" s="6">
        <f>IF($C1587="","",IF(COUNTIF($C$2:$C1587,$C1587)=1,1,0))</f>
        <v/>
      </c>
    </row>
    <row r="1588">
      <c r="P1588" s="6">
        <f>IF($C1588="","",IF(COUNTIF($C$2:$C1588,$C1588)=1,1,0))</f>
        <v/>
      </c>
    </row>
    <row r="1589">
      <c r="P1589" s="6">
        <f>IF($C1589="","",IF(COUNTIF($C$2:$C1589,$C1589)=1,1,0))</f>
        <v/>
      </c>
    </row>
    <row r="1590">
      <c r="P1590" s="6">
        <f>IF($C1590="","",IF(COUNTIF($C$2:$C1590,$C1590)=1,1,0))</f>
        <v/>
      </c>
    </row>
    <row r="1591">
      <c r="P1591" s="6">
        <f>IF($C1591="","",IF(COUNTIF($C$2:$C1591,$C1591)=1,1,0))</f>
        <v/>
      </c>
    </row>
    <row r="1592">
      <c r="P1592" s="6">
        <f>IF($C1592="","",IF(COUNTIF($C$2:$C1592,$C1592)=1,1,0))</f>
        <v/>
      </c>
    </row>
    <row r="1593">
      <c r="P1593" s="6">
        <f>IF($C1593="","",IF(COUNTIF($C$2:$C1593,$C1593)=1,1,0))</f>
        <v/>
      </c>
    </row>
    <row r="1594">
      <c r="P1594" s="6">
        <f>IF($C1594="","",IF(COUNTIF($C$2:$C1594,$C1594)=1,1,0))</f>
        <v/>
      </c>
    </row>
    <row r="1595">
      <c r="P1595" s="6">
        <f>IF($C1595="","",IF(COUNTIF($C$2:$C1595,$C1595)=1,1,0))</f>
        <v/>
      </c>
    </row>
    <row r="1596">
      <c r="P1596" s="6">
        <f>IF($C1596="","",IF(COUNTIF($C$2:$C1596,$C1596)=1,1,0))</f>
        <v/>
      </c>
    </row>
    <row r="1597">
      <c r="P1597" s="6">
        <f>IF($C1597="","",IF(COUNTIF($C$2:$C1597,$C1597)=1,1,0))</f>
        <v/>
      </c>
    </row>
    <row r="1598">
      <c r="P1598" s="6">
        <f>IF($C1598="","",IF(COUNTIF($C$2:$C1598,$C1598)=1,1,0))</f>
        <v/>
      </c>
    </row>
    <row r="1599">
      <c r="P1599" s="6">
        <f>IF($C1599="","",IF(COUNTIF($C$2:$C1599,$C1599)=1,1,0))</f>
        <v/>
      </c>
    </row>
    <row r="1600">
      <c r="P1600" s="6">
        <f>IF($C1600="","",IF(COUNTIF($C$2:$C1600,$C1600)=1,1,0))</f>
        <v/>
      </c>
    </row>
    <row r="1601">
      <c r="P1601" s="6">
        <f>IF($C1601="","",IF(COUNTIF($C$2:$C1601,$C1601)=1,1,0))</f>
        <v/>
      </c>
    </row>
    <row r="1602">
      <c r="P1602" s="6">
        <f>IF($C1602="","",IF(COUNTIF($C$2:$C1602,$C1602)=1,1,0))</f>
        <v/>
      </c>
    </row>
    <row r="1603">
      <c r="P1603" s="6">
        <f>IF($C1603="","",IF(COUNTIF($C$2:$C1603,$C1603)=1,1,0))</f>
        <v/>
      </c>
    </row>
    <row r="1604">
      <c r="P1604" s="6">
        <f>IF($C1604="","",IF(COUNTIF($C$2:$C1604,$C1604)=1,1,0))</f>
        <v/>
      </c>
    </row>
    <row r="1605">
      <c r="P1605" s="6">
        <f>IF($C1605="","",IF(COUNTIF($C$2:$C1605,$C1605)=1,1,0))</f>
        <v/>
      </c>
    </row>
    <row r="1606">
      <c r="P1606" s="6">
        <f>IF($C1606="","",IF(COUNTIF($C$2:$C1606,$C1606)=1,1,0))</f>
        <v/>
      </c>
    </row>
    <row r="1607">
      <c r="P1607" s="6">
        <f>IF($C1607="","",IF(COUNTIF($C$2:$C1607,$C1607)=1,1,0))</f>
        <v/>
      </c>
    </row>
    <row r="1608">
      <c r="P1608" s="6">
        <f>IF($C1608="","",IF(COUNTIF($C$2:$C1608,$C1608)=1,1,0))</f>
        <v/>
      </c>
    </row>
    <row r="1609">
      <c r="P1609" s="6">
        <f>IF($C1609="","",IF(COUNTIF($C$2:$C1609,$C1609)=1,1,0))</f>
        <v/>
      </c>
    </row>
    <row r="1610">
      <c r="P1610" s="6">
        <f>IF($C1610="","",IF(COUNTIF($C$2:$C1610,$C1610)=1,1,0))</f>
        <v/>
      </c>
    </row>
    <row r="1611">
      <c r="P1611" s="6">
        <f>IF($C1611="","",IF(COUNTIF($C$2:$C1611,$C1611)=1,1,0))</f>
        <v/>
      </c>
    </row>
    <row r="1612">
      <c r="P1612" s="6">
        <f>IF($C1612="","",IF(COUNTIF($C$2:$C1612,$C1612)=1,1,0))</f>
        <v/>
      </c>
    </row>
    <row r="1613">
      <c r="P1613" s="6">
        <f>IF($C1613="","",IF(COUNTIF($C$2:$C1613,$C1613)=1,1,0))</f>
        <v/>
      </c>
    </row>
    <row r="1614">
      <c r="P1614" s="6">
        <f>IF($C1614="","",IF(COUNTIF($C$2:$C1614,$C1614)=1,1,0))</f>
        <v/>
      </c>
    </row>
    <row r="1615">
      <c r="P1615" s="6">
        <f>IF($C1615="","",IF(COUNTIF($C$2:$C1615,$C1615)=1,1,0))</f>
        <v/>
      </c>
    </row>
    <row r="1616">
      <c r="P1616" s="6">
        <f>IF($C1616="","",IF(COUNTIF($C$2:$C1616,$C1616)=1,1,0))</f>
        <v/>
      </c>
    </row>
    <row r="1617">
      <c r="P1617" s="6">
        <f>IF($C1617="","",IF(COUNTIF($C$2:$C1617,$C1617)=1,1,0))</f>
        <v/>
      </c>
    </row>
    <row r="1618">
      <c r="P1618" s="6">
        <f>IF($C1618="","",IF(COUNTIF($C$2:$C1618,$C1618)=1,1,0))</f>
        <v/>
      </c>
    </row>
    <row r="1619">
      <c r="P1619" s="6">
        <f>IF($C1619="","",IF(COUNTIF($C$2:$C1619,$C1619)=1,1,0))</f>
        <v/>
      </c>
    </row>
    <row r="1620">
      <c r="P1620" s="6">
        <f>IF($C1620="","",IF(COUNTIF($C$2:$C1620,$C1620)=1,1,0))</f>
        <v/>
      </c>
    </row>
    <row r="1621">
      <c r="P1621" s="6">
        <f>IF($C1621="","",IF(COUNTIF($C$2:$C1621,$C1621)=1,1,0))</f>
        <v/>
      </c>
    </row>
    <row r="1622">
      <c r="P1622" s="6">
        <f>IF($C1622="","",IF(COUNTIF($C$2:$C1622,$C1622)=1,1,0))</f>
        <v/>
      </c>
    </row>
    <row r="1623">
      <c r="P1623" s="6">
        <f>IF($C1623="","",IF(COUNTIF($C$2:$C1623,$C1623)=1,1,0))</f>
        <v/>
      </c>
    </row>
    <row r="1624">
      <c r="P1624" s="6">
        <f>IF($C1624="","",IF(COUNTIF($C$2:$C1624,$C1624)=1,1,0))</f>
        <v/>
      </c>
    </row>
    <row r="1625">
      <c r="P1625" s="6">
        <f>IF($C1625="","",IF(COUNTIF($C$2:$C1625,$C1625)=1,1,0))</f>
        <v/>
      </c>
    </row>
    <row r="1626">
      <c r="P1626" s="6">
        <f>IF($C1626="","",IF(COUNTIF($C$2:$C1626,$C1626)=1,1,0))</f>
        <v/>
      </c>
    </row>
    <row r="1627">
      <c r="P1627" s="6">
        <f>IF($C1627="","",IF(COUNTIF($C$2:$C1627,$C1627)=1,1,0))</f>
        <v/>
      </c>
    </row>
    <row r="1628">
      <c r="P1628" s="6">
        <f>IF($C1628="","",IF(COUNTIF($C$2:$C1628,$C1628)=1,1,0))</f>
        <v/>
      </c>
    </row>
    <row r="1629">
      <c r="P1629" s="6">
        <f>IF($C1629="","",IF(COUNTIF($C$2:$C1629,$C1629)=1,1,0))</f>
        <v/>
      </c>
    </row>
    <row r="1630">
      <c r="P1630" s="6">
        <f>IF($C1630="","",IF(COUNTIF($C$2:$C1630,$C1630)=1,1,0))</f>
        <v/>
      </c>
    </row>
    <row r="1631">
      <c r="P1631" s="6">
        <f>IF($C1631="","",IF(COUNTIF($C$2:$C1631,$C1631)=1,1,0))</f>
        <v/>
      </c>
    </row>
    <row r="1632">
      <c r="P1632" s="6">
        <f>IF($C1632="","",IF(COUNTIF($C$2:$C1632,$C1632)=1,1,0))</f>
        <v/>
      </c>
    </row>
    <row r="1633">
      <c r="P1633" s="6">
        <f>IF($C1633="","",IF(COUNTIF($C$2:$C1633,$C1633)=1,1,0))</f>
        <v/>
      </c>
    </row>
    <row r="1634">
      <c r="P1634" s="6">
        <f>IF($C1634="","",IF(COUNTIF($C$2:$C1634,$C1634)=1,1,0))</f>
        <v/>
      </c>
    </row>
    <row r="1635">
      <c r="P1635" s="6">
        <f>IF($C1635="","",IF(COUNTIF($C$2:$C1635,$C1635)=1,1,0))</f>
        <v/>
      </c>
    </row>
    <row r="1636">
      <c r="P1636" s="6">
        <f>IF($C1636="","",IF(COUNTIF($C$2:$C1636,$C1636)=1,1,0))</f>
        <v/>
      </c>
    </row>
    <row r="1637">
      <c r="P1637" s="6">
        <f>IF($C1637="","",IF(COUNTIF($C$2:$C1637,$C1637)=1,1,0))</f>
        <v/>
      </c>
    </row>
    <row r="1638">
      <c r="P1638" s="6">
        <f>IF($C1638="","",IF(COUNTIF($C$2:$C1638,$C1638)=1,1,0))</f>
        <v/>
      </c>
    </row>
    <row r="1639">
      <c r="P1639" s="6">
        <f>IF($C1639="","",IF(COUNTIF($C$2:$C1639,$C1639)=1,1,0))</f>
        <v/>
      </c>
    </row>
    <row r="1640">
      <c r="P1640" s="6">
        <f>IF($C1640="","",IF(COUNTIF($C$2:$C1640,$C1640)=1,1,0))</f>
        <v/>
      </c>
    </row>
    <row r="1641">
      <c r="P1641" s="6">
        <f>IF($C1641="","",IF(COUNTIF($C$2:$C1641,$C1641)=1,1,0))</f>
        <v/>
      </c>
    </row>
    <row r="1642">
      <c r="P1642" s="6">
        <f>IF($C1642="","",IF(COUNTIF($C$2:$C1642,$C1642)=1,1,0))</f>
        <v/>
      </c>
    </row>
    <row r="1643">
      <c r="P1643" s="6">
        <f>IF($C1643="","",IF(COUNTIF($C$2:$C1643,$C1643)=1,1,0))</f>
        <v/>
      </c>
    </row>
    <row r="1644">
      <c r="P1644" s="6">
        <f>IF($C1644="","",IF(COUNTIF($C$2:$C1644,$C1644)=1,1,0))</f>
        <v/>
      </c>
    </row>
    <row r="1645">
      <c r="P1645" s="6">
        <f>IF($C1645="","",IF(COUNTIF($C$2:$C1645,$C1645)=1,1,0))</f>
        <v/>
      </c>
    </row>
    <row r="1646">
      <c r="P1646" s="6">
        <f>IF($C1646="","",IF(COUNTIF($C$2:$C1646,$C1646)=1,1,0))</f>
        <v/>
      </c>
    </row>
    <row r="1647">
      <c r="P1647" s="6">
        <f>IF($C1647="","",IF(COUNTIF($C$2:$C1647,$C1647)=1,1,0))</f>
        <v/>
      </c>
    </row>
    <row r="1648">
      <c r="P1648" s="6">
        <f>IF($C1648="","",IF(COUNTIF($C$2:$C1648,$C1648)=1,1,0))</f>
        <v/>
      </c>
    </row>
    <row r="1649">
      <c r="P1649" s="6">
        <f>IF($C1649="","",IF(COUNTIF($C$2:$C1649,$C1649)=1,1,0))</f>
        <v/>
      </c>
    </row>
    <row r="1650">
      <c r="P1650" s="6">
        <f>IF($C1650="","",IF(COUNTIF($C$2:$C1650,$C1650)=1,1,0))</f>
        <v/>
      </c>
    </row>
    <row r="1651">
      <c r="P1651" s="6">
        <f>IF($C1651="","",IF(COUNTIF($C$2:$C1651,$C1651)=1,1,0))</f>
        <v/>
      </c>
    </row>
    <row r="1652">
      <c r="P1652" s="6">
        <f>IF($C1652="","",IF(COUNTIF($C$2:$C1652,$C1652)=1,1,0))</f>
        <v/>
      </c>
    </row>
    <row r="1653">
      <c r="P1653" s="6">
        <f>IF($C1653="","",IF(COUNTIF($C$2:$C1653,$C1653)=1,1,0))</f>
        <v/>
      </c>
    </row>
    <row r="1654">
      <c r="P1654" s="6">
        <f>IF($C1654="","",IF(COUNTIF($C$2:$C1654,$C1654)=1,1,0))</f>
        <v/>
      </c>
    </row>
    <row r="1655">
      <c r="P1655" s="6">
        <f>IF($C1655="","",IF(COUNTIF($C$2:$C1655,$C1655)=1,1,0))</f>
        <v/>
      </c>
    </row>
    <row r="1656">
      <c r="P1656" s="6">
        <f>IF($C1656="","",IF(COUNTIF($C$2:$C1656,$C1656)=1,1,0))</f>
        <v/>
      </c>
    </row>
    <row r="1657">
      <c r="P1657" s="6">
        <f>IF($C1657="","",IF(COUNTIF($C$2:$C1657,$C1657)=1,1,0))</f>
        <v/>
      </c>
    </row>
    <row r="1658">
      <c r="P1658" s="6">
        <f>IF($C1658="","",IF(COUNTIF($C$2:$C1658,$C1658)=1,1,0))</f>
        <v/>
      </c>
    </row>
    <row r="1659">
      <c r="P1659" s="6">
        <f>IF($C1659="","",IF(COUNTIF($C$2:$C1659,$C1659)=1,1,0))</f>
        <v/>
      </c>
    </row>
    <row r="1660">
      <c r="P1660" s="6">
        <f>IF($C1660="","",IF(COUNTIF($C$2:$C1660,$C1660)=1,1,0))</f>
        <v/>
      </c>
    </row>
    <row r="1661">
      <c r="P1661" s="6">
        <f>IF($C1661="","",IF(COUNTIF($C$2:$C1661,$C1661)=1,1,0))</f>
        <v/>
      </c>
    </row>
    <row r="1662">
      <c r="P1662" s="6">
        <f>IF($C1662="","",IF(COUNTIF($C$2:$C1662,$C1662)=1,1,0))</f>
        <v/>
      </c>
    </row>
    <row r="1663">
      <c r="P1663" s="6">
        <f>IF($C1663="","",IF(COUNTIF($C$2:$C1663,$C1663)=1,1,0))</f>
        <v/>
      </c>
    </row>
    <row r="1664">
      <c r="P1664" s="6">
        <f>IF($C1664="","",IF(COUNTIF($C$2:$C1664,$C1664)=1,1,0))</f>
        <v/>
      </c>
    </row>
    <row r="1665">
      <c r="P1665" s="6">
        <f>IF($C1665="","",IF(COUNTIF($C$2:$C1665,$C1665)=1,1,0))</f>
        <v/>
      </c>
    </row>
    <row r="1666">
      <c r="P1666" s="6">
        <f>IF($C1666="","",IF(COUNTIF($C$2:$C1666,$C1666)=1,1,0))</f>
        <v/>
      </c>
    </row>
    <row r="1667">
      <c r="P1667" s="6">
        <f>IF($C1667="","",IF(COUNTIF($C$2:$C1667,$C1667)=1,1,0))</f>
        <v/>
      </c>
    </row>
    <row r="1668">
      <c r="P1668" s="6">
        <f>IF($C1668="","",IF(COUNTIF($C$2:$C1668,$C1668)=1,1,0))</f>
        <v/>
      </c>
    </row>
    <row r="1669">
      <c r="P1669" s="6">
        <f>IF($C1669="","",IF(COUNTIF($C$2:$C1669,$C1669)=1,1,0))</f>
        <v/>
      </c>
    </row>
    <row r="1670">
      <c r="P1670" s="6">
        <f>IF($C1670="","",IF(COUNTIF($C$2:$C1670,$C1670)=1,1,0))</f>
        <v/>
      </c>
    </row>
    <row r="1671">
      <c r="P1671" s="6">
        <f>IF($C1671="","",IF(COUNTIF($C$2:$C1671,$C1671)=1,1,0))</f>
        <v/>
      </c>
    </row>
    <row r="1672">
      <c r="P1672" s="6">
        <f>IF($C1672="","",IF(COUNTIF($C$2:$C1672,$C1672)=1,1,0))</f>
        <v/>
      </c>
    </row>
    <row r="1673">
      <c r="P1673" s="6">
        <f>IF($C1673="","",IF(COUNTIF($C$2:$C1673,$C1673)=1,1,0))</f>
        <v/>
      </c>
    </row>
    <row r="1674">
      <c r="P1674" s="6">
        <f>IF($C1674="","",IF(COUNTIF($C$2:$C1674,$C1674)=1,1,0))</f>
        <v/>
      </c>
    </row>
    <row r="1675">
      <c r="P1675" s="6">
        <f>IF($C1675="","",IF(COUNTIF($C$2:$C1675,$C1675)=1,1,0))</f>
        <v/>
      </c>
    </row>
    <row r="1676">
      <c r="P1676" s="6">
        <f>IF($C1676="","",IF(COUNTIF($C$2:$C1676,$C1676)=1,1,0))</f>
        <v/>
      </c>
    </row>
    <row r="1677">
      <c r="P1677" s="6">
        <f>IF($C1677="","",IF(COUNTIF($C$2:$C1677,$C1677)=1,1,0))</f>
        <v/>
      </c>
    </row>
    <row r="1678">
      <c r="P1678" s="6">
        <f>IF($C1678="","",IF(COUNTIF($C$2:$C1678,$C1678)=1,1,0))</f>
        <v/>
      </c>
    </row>
    <row r="1679">
      <c r="P1679" s="6">
        <f>IF($C1679="","",IF(COUNTIF($C$2:$C1679,$C1679)=1,1,0))</f>
        <v/>
      </c>
    </row>
    <row r="1680">
      <c r="P1680" s="6">
        <f>IF($C1680="","",IF(COUNTIF($C$2:$C1680,$C1680)=1,1,0))</f>
        <v/>
      </c>
    </row>
    <row r="1681">
      <c r="P1681" s="6">
        <f>IF($C1681="","",IF(COUNTIF($C$2:$C1681,$C1681)=1,1,0))</f>
        <v/>
      </c>
    </row>
    <row r="1682">
      <c r="P1682" s="6">
        <f>IF($C1682="","",IF(COUNTIF($C$2:$C1682,$C1682)=1,1,0))</f>
        <v/>
      </c>
    </row>
    <row r="1683">
      <c r="P1683" s="6">
        <f>IF($C1683="","",IF(COUNTIF($C$2:$C1683,$C1683)=1,1,0))</f>
        <v/>
      </c>
    </row>
    <row r="1684">
      <c r="P1684" s="6">
        <f>IF($C1684="","",IF(COUNTIF($C$2:$C1684,$C1684)=1,1,0))</f>
        <v/>
      </c>
    </row>
    <row r="1685">
      <c r="P1685" s="6">
        <f>IF($C1685="","",IF(COUNTIF($C$2:$C1685,$C1685)=1,1,0))</f>
        <v/>
      </c>
    </row>
    <row r="1686">
      <c r="P1686" s="6">
        <f>IF($C1686="","",IF(COUNTIF($C$2:$C1686,$C1686)=1,1,0))</f>
        <v/>
      </c>
    </row>
    <row r="1687">
      <c r="P1687" s="6">
        <f>IF($C1687="","",IF(COUNTIF($C$2:$C1687,$C1687)=1,1,0))</f>
        <v/>
      </c>
    </row>
    <row r="1688">
      <c r="P1688" s="6">
        <f>IF($C1688="","",IF(COUNTIF($C$2:$C1688,$C1688)=1,1,0))</f>
        <v/>
      </c>
    </row>
    <row r="1689">
      <c r="P1689" s="6">
        <f>IF($C1689="","",IF(COUNTIF($C$2:$C1689,$C1689)=1,1,0))</f>
        <v/>
      </c>
    </row>
    <row r="1690">
      <c r="P1690" s="6">
        <f>IF($C1690="","",IF(COUNTIF($C$2:$C1690,$C1690)=1,1,0))</f>
        <v/>
      </c>
    </row>
    <row r="1691">
      <c r="P1691" s="6">
        <f>IF($C1691="","",IF(COUNTIF($C$2:$C1691,$C1691)=1,1,0))</f>
        <v/>
      </c>
    </row>
    <row r="1692">
      <c r="P1692" s="6">
        <f>IF($C1692="","",IF(COUNTIF($C$2:$C1692,$C1692)=1,1,0))</f>
        <v/>
      </c>
    </row>
    <row r="1693">
      <c r="P1693" s="6">
        <f>IF($C1693="","",IF(COUNTIF($C$2:$C1693,$C1693)=1,1,0))</f>
        <v/>
      </c>
    </row>
    <row r="1694">
      <c r="P1694" s="6">
        <f>IF($C1694="","",IF(COUNTIF($C$2:$C1694,$C1694)=1,1,0))</f>
        <v/>
      </c>
    </row>
    <row r="1695">
      <c r="P1695" s="6">
        <f>IF($C1695="","",IF(COUNTIF($C$2:$C1695,$C1695)=1,1,0))</f>
        <v/>
      </c>
    </row>
    <row r="1696">
      <c r="P1696" s="6">
        <f>IF($C1696="","",IF(COUNTIF($C$2:$C1696,$C1696)=1,1,0))</f>
        <v/>
      </c>
    </row>
    <row r="1697">
      <c r="P1697" s="6">
        <f>IF($C1697="","",IF(COUNTIF($C$2:$C1697,$C1697)=1,1,0))</f>
        <v/>
      </c>
    </row>
    <row r="1698">
      <c r="P1698" s="6">
        <f>IF($C1698="","",IF(COUNTIF($C$2:$C1698,$C1698)=1,1,0))</f>
        <v/>
      </c>
    </row>
    <row r="1699">
      <c r="P1699" s="6">
        <f>IF($C1699="","",IF(COUNTIF($C$2:$C1699,$C1699)=1,1,0))</f>
        <v/>
      </c>
    </row>
    <row r="1700">
      <c r="P1700" s="6">
        <f>IF($C1700="","",IF(COUNTIF($C$2:$C1700,$C1700)=1,1,0))</f>
        <v/>
      </c>
    </row>
    <row r="1701">
      <c r="P1701" s="6">
        <f>IF($C1701="","",IF(COUNTIF($C$2:$C1701,$C1701)=1,1,0))</f>
        <v/>
      </c>
    </row>
    <row r="1702">
      <c r="P1702" s="6">
        <f>IF($C1702="","",IF(COUNTIF($C$2:$C1702,$C1702)=1,1,0))</f>
        <v/>
      </c>
    </row>
    <row r="1703">
      <c r="P1703" s="6">
        <f>IF($C1703="","",IF(COUNTIF($C$2:$C1703,$C1703)=1,1,0))</f>
        <v/>
      </c>
    </row>
    <row r="1704">
      <c r="P1704" s="6">
        <f>IF($C1704="","",IF(COUNTIF($C$2:$C1704,$C1704)=1,1,0))</f>
        <v/>
      </c>
    </row>
    <row r="1705">
      <c r="P1705" s="6">
        <f>IF($C1705="","",IF(COUNTIF($C$2:$C1705,$C1705)=1,1,0))</f>
        <v/>
      </c>
    </row>
    <row r="1706">
      <c r="P1706" s="6">
        <f>IF($C1706="","",IF(COUNTIF($C$2:$C1706,$C1706)=1,1,0))</f>
        <v/>
      </c>
    </row>
    <row r="1707">
      <c r="P1707" s="6">
        <f>IF($C1707="","",IF(COUNTIF($C$2:$C1707,$C1707)=1,1,0))</f>
        <v/>
      </c>
    </row>
    <row r="1708">
      <c r="P1708" s="6">
        <f>IF($C1708="","",IF(COUNTIF($C$2:$C1708,$C1708)=1,1,0))</f>
        <v/>
      </c>
    </row>
    <row r="1709">
      <c r="P1709" s="6">
        <f>IF($C1709="","",IF(COUNTIF($C$2:$C1709,$C1709)=1,1,0))</f>
        <v/>
      </c>
    </row>
    <row r="1710">
      <c r="P1710" s="6">
        <f>IF($C1710="","",IF(COUNTIF($C$2:$C1710,$C1710)=1,1,0))</f>
        <v/>
      </c>
    </row>
    <row r="1711">
      <c r="P1711" s="6">
        <f>IF($C1711="","",IF(COUNTIF($C$2:$C1711,$C1711)=1,1,0))</f>
        <v/>
      </c>
    </row>
    <row r="1712">
      <c r="P1712" s="6">
        <f>IF($C1712="","",IF(COUNTIF($C$2:$C1712,$C1712)=1,1,0))</f>
        <v/>
      </c>
    </row>
    <row r="1713">
      <c r="P1713" s="6">
        <f>IF($C1713="","",IF(COUNTIF($C$2:$C1713,$C1713)=1,1,0))</f>
        <v/>
      </c>
    </row>
    <row r="1714">
      <c r="P1714" s="6">
        <f>IF($C1714="","",IF(COUNTIF($C$2:$C1714,$C1714)=1,1,0))</f>
        <v/>
      </c>
    </row>
    <row r="1715">
      <c r="P1715" s="6">
        <f>IF($C1715="","",IF(COUNTIF($C$2:$C1715,$C1715)=1,1,0))</f>
        <v/>
      </c>
    </row>
    <row r="1716">
      <c r="P1716" s="6">
        <f>IF($C1716="","",IF(COUNTIF($C$2:$C1716,$C1716)=1,1,0))</f>
        <v/>
      </c>
    </row>
    <row r="1717">
      <c r="P1717" s="6">
        <f>IF($C1717="","",IF(COUNTIF($C$2:$C1717,$C1717)=1,1,0))</f>
        <v/>
      </c>
    </row>
    <row r="1718">
      <c r="P1718" s="6">
        <f>IF($C1718="","",IF(COUNTIF($C$2:$C1718,$C1718)=1,1,0))</f>
        <v/>
      </c>
    </row>
    <row r="1719">
      <c r="P1719" s="6">
        <f>IF($C1719="","",IF(COUNTIF($C$2:$C1719,$C1719)=1,1,0))</f>
        <v/>
      </c>
    </row>
    <row r="1720">
      <c r="P1720" s="6">
        <f>IF($C1720="","",IF(COUNTIF($C$2:$C1720,$C1720)=1,1,0))</f>
        <v/>
      </c>
    </row>
    <row r="1721">
      <c r="P1721" s="6">
        <f>IF($C1721="","",IF(COUNTIF($C$2:$C1721,$C1721)=1,1,0))</f>
        <v/>
      </c>
    </row>
    <row r="1722">
      <c r="P1722" s="6">
        <f>IF($C1722="","",IF(COUNTIF($C$2:$C1722,$C1722)=1,1,0))</f>
        <v/>
      </c>
    </row>
    <row r="1723">
      <c r="P1723" s="6">
        <f>IF($C1723="","",IF(COUNTIF($C$2:$C1723,$C1723)=1,1,0))</f>
        <v/>
      </c>
    </row>
    <row r="1724">
      <c r="P1724" s="6">
        <f>IF($C1724="","",IF(COUNTIF($C$2:$C1724,$C1724)=1,1,0))</f>
        <v/>
      </c>
    </row>
    <row r="1725">
      <c r="P1725" s="6">
        <f>IF($C1725="","",IF(COUNTIF($C$2:$C1725,$C1725)=1,1,0))</f>
        <v/>
      </c>
    </row>
    <row r="1726">
      <c r="P1726" s="6">
        <f>IF($C1726="","",IF(COUNTIF($C$2:$C1726,$C1726)=1,1,0))</f>
        <v/>
      </c>
    </row>
    <row r="1727">
      <c r="P1727" s="6">
        <f>IF($C1727="","",IF(COUNTIF($C$2:$C1727,$C1727)=1,1,0))</f>
        <v/>
      </c>
    </row>
    <row r="1728">
      <c r="P1728" s="6">
        <f>IF($C1728="","",IF(COUNTIF($C$2:$C1728,$C1728)=1,1,0))</f>
        <v/>
      </c>
    </row>
    <row r="1729">
      <c r="P1729" s="6">
        <f>IF($C1729="","",IF(COUNTIF($C$2:$C1729,$C1729)=1,1,0))</f>
        <v/>
      </c>
    </row>
    <row r="1730">
      <c r="P1730" s="6">
        <f>IF($C1730="","",IF(COUNTIF($C$2:$C1730,$C1730)=1,1,0))</f>
        <v/>
      </c>
    </row>
    <row r="1731">
      <c r="P1731" s="6">
        <f>IF($C1731="","",IF(COUNTIF($C$2:$C1731,$C1731)=1,1,0))</f>
        <v/>
      </c>
    </row>
    <row r="1732">
      <c r="P1732" s="6">
        <f>IF($C1732="","",IF(COUNTIF($C$2:$C1732,$C1732)=1,1,0))</f>
        <v/>
      </c>
    </row>
    <row r="1733">
      <c r="P1733" s="6">
        <f>IF($C1733="","",IF(COUNTIF($C$2:$C1733,$C1733)=1,1,0))</f>
        <v/>
      </c>
    </row>
    <row r="1734">
      <c r="P1734" s="6">
        <f>IF($C1734="","",IF(COUNTIF($C$2:$C1734,$C1734)=1,1,0))</f>
        <v/>
      </c>
    </row>
    <row r="1735">
      <c r="P1735" s="6">
        <f>IF($C1735="","",IF(COUNTIF($C$2:$C1735,$C1735)=1,1,0))</f>
        <v/>
      </c>
    </row>
    <row r="1736">
      <c r="P1736" s="6">
        <f>IF($C1736="","",IF(COUNTIF($C$2:$C1736,$C1736)=1,1,0))</f>
        <v/>
      </c>
    </row>
    <row r="1737">
      <c r="P1737" s="6">
        <f>IF($C1737="","",IF(COUNTIF($C$2:$C1737,$C1737)=1,1,0))</f>
        <v/>
      </c>
    </row>
    <row r="1738">
      <c r="P1738" s="6">
        <f>IF($C1738="","",IF(COUNTIF($C$2:$C1738,$C1738)=1,1,0))</f>
        <v/>
      </c>
    </row>
    <row r="1739">
      <c r="P1739" s="6">
        <f>IF($C1739="","",IF(COUNTIF($C$2:$C1739,$C1739)=1,1,0))</f>
        <v/>
      </c>
    </row>
    <row r="1740">
      <c r="P1740" s="6">
        <f>IF($C1740="","",IF(COUNTIF($C$2:$C1740,$C1740)=1,1,0))</f>
        <v/>
      </c>
    </row>
    <row r="1741">
      <c r="P1741" s="6">
        <f>IF($C1741="","",IF(COUNTIF($C$2:$C1741,$C1741)=1,1,0))</f>
        <v/>
      </c>
    </row>
    <row r="1742">
      <c r="P1742" s="6">
        <f>IF($C1742="","",IF(COUNTIF($C$2:$C1742,$C1742)=1,1,0))</f>
        <v/>
      </c>
    </row>
    <row r="1743">
      <c r="P1743" s="6">
        <f>IF($C1743="","",IF(COUNTIF($C$2:$C1743,$C1743)=1,1,0))</f>
        <v/>
      </c>
    </row>
    <row r="1744">
      <c r="P1744" s="6">
        <f>IF($C1744="","",IF(COUNTIF($C$2:$C1744,$C1744)=1,1,0))</f>
        <v/>
      </c>
    </row>
    <row r="1745">
      <c r="P1745" s="6">
        <f>IF($C1745="","",IF(COUNTIF($C$2:$C1745,$C1745)=1,1,0))</f>
        <v/>
      </c>
    </row>
    <row r="1746">
      <c r="P1746" s="6">
        <f>IF($C1746="","",IF(COUNTIF($C$2:$C1746,$C1746)=1,1,0))</f>
        <v/>
      </c>
    </row>
    <row r="1747">
      <c r="P1747" s="6">
        <f>IF($C1747="","",IF(COUNTIF($C$2:$C1747,$C1747)=1,1,0))</f>
        <v/>
      </c>
    </row>
    <row r="1748">
      <c r="P1748" s="6">
        <f>IF($C1748="","",IF(COUNTIF($C$2:$C1748,$C1748)=1,1,0))</f>
        <v/>
      </c>
    </row>
    <row r="1749">
      <c r="P1749" s="6">
        <f>IF($C1749="","",IF(COUNTIF($C$2:$C1749,$C1749)=1,1,0))</f>
        <v/>
      </c>
    </row>
    <row r="1750">
      <c r="P1750" s="6">
        <f>IF($C1750="","",IF(COUNTIF($C$2:$C1750,$C1750)=1,1,0))</f>
        <v/>
      </c>
    </row>
    <row r="1751">
      <c r="P1751" s="6">
        <f>IF($C1751="","",IF(COUNTIF($C$2:$C1751,$C1751)=1,1,0))</f>
        <v/>
      </c>
    </row>
    <row r="1752">
      <c r="P1752" s="6">
        <f>IF($C1752="","",IF(COUNTIF($C$2:$C1752,$C1752)=1,1,0))</f>
        <v/>
      </c>
    </row>
    <row r="1753">
      <c r="P1753" s="6">
        <f>IF($C1753="","",IF(COUNTIF($C$2:$C1753,$C1753)=1,1,0))</f>
        <v/>
      </c>
    </row>
    <row r="1754">
      <c r="P1754" s="6">
        <f>IF($C1754="","",IF(COUNTIF($C$2:$C1754,$C1754)=1,1,0))</f>
        <v/>
      </c>
    </row>
    <row r="1755">
      <c r="P1755" s="6">
        <f>IF($C1755="","",IF(COUNTIF($C$2:$C1755,$C1755)=1,1,0))</f>
        <v/>
      </c>
    </row>
    <row r="1756">
      <c r="P1756" s="6">
        <f>IF($C1756="","",IF(COUNTIF($C$2:$C1756,$C1756)=1,1,0))</f>
        <v/>
      </c>
    </row>
    <row r="1757">
      <c r="P1757" s="6">
        <f>IF($C1757="","",IF(COUNTIF($C$2:$C1757,$C1757)=1,1,0))</f>
        <v/>
      </c>
    </row>
    <row r="1758">
      <c r="P1758" s="6">
        <f>IF($C1758="","",IF(COUNTIF($C$2:$C1758,$C1758)=1,1,0))</f>
        <v/>
      </c>
    </row>
    <row r="1759">
      <c r="P1759" s="6">
        <f>IF($C1759="","",IF(COUNTIF($C$2:$C1759,$C1759)=1,1,0))</f>
        <v/>
      </c>
    </row>
    <row r="1760">
      <c r="P1760" s="6">
        <f>IF($C1760="","",IF(COUNTIF($C$2:$C1760,$C1760)=1,1,0))</f>
        <v/>
      </c>
    </row>
    <row r="1761">
      <c r="P1761" s="6">
        <f>IF($C1761="","",IF(COUNTIF($C$2:$C1761,$C1761)=1,1,0))</f>
        <v/>
      </c>
    </row>
    <row r="1762">
      <c r="P1762" s="6">
        <f>IF($C1762="","",IF(COUNTIF($C$2:$C1762,$C1762)=1,1,0))</f>
        <v/>
      </c>
    </row>
    <row r="1763">
      <c r="P1763" s="6">
        <f>IF($C1763="","",IF(COUNTIF($C$2:$C1763,$C1763)=1,1,0))</f>
        <v/>
      </c>
    </row>
    <row r="1764">
      <c r="P1764" s="6">
        <f>IF($C1764="","",IF(COUNTIF($C$2:$C1764,$C1764)=1,1,0))</f>
        <v/>
      </c>
    </row>
    <row r="1765">
      <c r="P1765" s="6">
        <f>IF($C1765="","",IF(COUNTIF($C$2:$C1765,$C1765)=1,1,0))</f>
        <v/>
      </c>
    </row>
    <row r="1766">
      <c r="P1766" s="6">
        <f>IF($C1766="","",IF(COUNTIF($C$2:$C1766,$C1766)=1,1,0))</f>
        <v/>
      </c>
    </row>
    <row r="1767">
      <c r="P1767" s="6">
        <f>IF($C1767="","",IF(COUNTIF($C$2:$C1767,$C1767)=1,1,0))</f>
        <v/>
      </c>
    </row>
    <row r="1768">
      <c r="P1768" s="6">
        <f>IF($C1768="","",IF(COUNTIF($C$2:$C1768,$C1768)=1,1,0))</f>
        <v/>
      </c>
    </row>
    <row r="1769">
      <c r="P1769" s="6">
        <f>IF($C1769="","",IF(COUNTIF($C$2:$C1769,$C1769)=1,1,0))</f>
        <v/>
      </c>
    </row>
    <row r="1770">
      <c r="P1770" s="6">
        <f>IF($C1770="","",IF(COUNTIF($C$2:$C1770,$C1770)=1,1,0))</f>
        <v/>
      </c>
    </row>
    <row r="1771">
      <c r="P1771" s="6">
        <f>IF($C1771="","",IF(COUNTIF($C$2:$C1771,$C1771)=1,1,0))</f>
        <v/>
      </c>
    </row>
    <row r="1772">
      <c r="P1772" s="6">
        <f>IF($C1772="","",IF(COUNTIF($C$2:$C1772,$C1772)=1,1,0))</f>
        <v/>
      </c>
    </row>
    <row r="1773">
      <c r="P1773" s="6">
        <f>IF($C1773="","",IF(COUNTIF($C$2:$C1773,$C1773)=1,1,0))</f>
        <v/>
      </c>
    </row>
    <row r="1774">
      <c r="P1774" s="6">
        <f>IF($C1774="","",IF(COUNTIF($C$2:$C1774,$C1774)=1,1,0))</f>
        <v/>
      </c>
    </row>
    <row r="1775">
      <c r="P1775" s="6">
        <f>IF($C1775="","",IF(COUNTIF($C$2:$C1775,$C1775)=1,1,0))</f>
        <v/>
      </c>
    </row>
    <row r="1776">
      <c r="P1776" s="6">
        <f>IF($C1776="","",IF(COUNTIF($C$2:$C1776,$C1776)=1,1,0))</f>
        <v/>
      </c>
    </row>
    <row r="1777">
      <c r="P1777" s="6">
        <f>IF($C1777="","",IF(COUNTIF($C$2:$C1777,$C1777)=1,1,0))</f>
        <v/>
      </c>
    </row>
    <row r="1778">
      <c r="P1778" s="6">
        <f>IF($C1778="","",IF(COUNTIF($C$2:$C1778,$C1778)=1,1,0))</f>
        <v/>
      </c>
    </row>
    <row r="1779">
      <c r="P1779" s="6">
        <f>IF($C1779="","",IF(COUNTIF($C$2:$C1779,$C1779)=1,1,0))</f>
        <v/>
      </c>
    </row>
    <row r="1780">
      <c r="P1780" s="6">
        <f>IF($C1780="","",IF(COUNTIF($C$2:$C1780,$C1780)=1,1,0))</f>
        <v/>
      </c>
    </row>
    <row r="1781">
      <c r="P1781" s="6">
        <f>IF($C1781="","",IF(COUNTIF($C$2:$C1781,$C1781)=1,1,0))</f>
        <v/>
      </c>
    </row>
    <row r="1782">
      <c r="P1782" s="6">
        <f>IF($C1782="","",IF(COUNTIF($C$2:$C1782,$C1782)=1,1,0))</f>
        <v/>
      </c>
    </row>
    <row r="1783">
      <c r="P1783" s="6">
        <f>IF($C1783="","",IF(COUNTIF($C$2:$C1783,$C1783)=1,1,0))</f>
        <v/>
      </c>
    </row>
    <row r="1784">
      <c r="P1784" s="6">
        <f>IF($C1784="","",IF(COUNTIF($C$2:$C1784,$C1784)=1,1,0))</f>
        <v/>
      </c>
    </row>
    <row r="1785">
      <c r="P1785" s="6">
        <f>IF($C1785="","",IF(COUNTIF($C$2:$C1785,$C1785)=1,1,0))</f>
        <v/>
      </c>
    </row>
    <row r="1786">
      <c r="P1786" s="6">
        <f>IF($C1786="","",IF(COUNTIF($C$2:$C1786,$C1786)=1,1,0))</f>
        <v/>
      </c>
    </row>
    <row r="1787">
      <c r="P1787" s="6">
        <f>IF($C1787="","",IF(COUNTIF($C$2:$C1787,$C1787)=1,1,0))</f>
        <v/>
      </c>
    </row>
    <row r="1788">
      <c r="P1788" s="6">
        <f>IF($C1788="","",IF(COUNTIF($C$2:$C1788,$C1788)=1,1,0))</f>
        <v/>
      </c>
    </row>
    <row r="1789">
      <c r="P1789" s="6">
        <f>IF($C1789="","",IF(COUNTIF($C$2:$C1789,$C1789)=1,1,0))</f>
        <v/>
      </c>
    </row>
    <row r="1790">
      <c r="P1790" s="6">
        <f>IF($C1790="","",IF(COUNTIF($C$2:$C1790,$C1790)=1,1,0))</f>
        <v/>
      </c>
    </row>
    <row r="1791">
      <c r="P1791" s="6">
        <f>IF($C1791="","",IF(COUNTIF($C$2:$C1791,$C1791)=1,1,0))</f>
        <v/>
      </c>
    </row>
    <row r="1792">
      <c r="P1792" s="6">
        <f>IF($C1792="","",IF(COUNTIF($C$2:$C1792,$C1792)=1,1,0))</f>
        <v/>
      </c>
    </row>
    <row r="1793">
      <c r="P1793" s="6">
        <f>IF($C1793="","",IF(COUNTIF($C$2:$C1793,$C1793)=1,1,0))</f>
        <v/>
      </c>
    </row>
    <row r="1794">
      <c r="P1794" s="6">
        <f>IF($C1794="","",IF(COUNTIF($C$2:$C1794,$C1794)=1,1,0))</f>
        <v/>
      </c>
    </row>
    <row r="1795">
      <c r="P1795" s="6">
        <f>IF($C1795="","",IF(COUNTIF($C$2:$C1795,$C1795)=1,1,0))</f>
        <v/>
      </c>
    </row>
    <row r="1796">
      <c r="P1796" s="6">
        <f>IF($C1796="","",IF(COUNTIF($C$2:$C1796,$C1796)=1,1,0))</f>
        <v/>
      </c>
    </row>
    <row r="1797">
      <c r="P1797" s="6">
        <f>IF($C1797="","",IF(COUNTIF($C$2:$C1797,$C1797)=1,1,0))</f>
        <v/>
      </c>
    </row>
    <row r="1798">
      <c r="P1798" s="6">
        <f>IF($C1798="","",IF(COUNTIF($C$2:$C1798,$C1798)=1,1,0))</f>
        <v/>
      </c>
    </row>
    <row r="1799">
      <c r="P1799" s="6">
        <f>IF($C1799="","",IF(COUNTIF($C$2:$C1799,$C1799)=1,1,0))</f>
        <v/>
      </c>
    </row>
    <row r="1800">
      <c r="P1800" s="6">
        <f>IF($C1800="","",IF(COUNTIF($C$2:$C1800,$C1800)=1,1,0))</f>
        <v/>
      </c>
    </row>
    <row r="1801">
      <c r="P1801" s="6">
        <f>IF($C1801="","",IF(COUNTIF($C$2:$C1801,$C1801)=1,1,0))</f>
        <v/>
      </c>
    </row>
    <row r="1802">
      <c r="P1802" s="6">
        <f>IF($C1802="","",IF(COUNTIF($C$2:$C1802,$C1802)=1,1,0))</f>
        <v/>
      </c>
    </row>
    <row r="1803">
      <c r="P1803" s="6">
        <f>IF($C1803="","",IF(COUNTIF($C$2:$C1803,$C1803)=1,1,0))</f>
        <v/>
      </c>
    </row>
    <row r="1804">
      <c r="P1804" s="6">
        <f>IF($C1804="","",IF(COUNTIF($C$2:$C1804,$C1804)=1,1,0))</f>
        <v/>
      </c>
    </row>
    <row r="1805">
      <c r="P1805" s="6">
        <f>IF($C1805="","",IF(COUNTIF($C$2:$C1805,$C1805)=1,1,0))</f>
        <v/>
      </c>
    </row>
    <row r="1806">
      <c r="P1806" s="6">
        <f>IF($C1806="","",IF(COUNTIF($C$2:$C1806,$C1806)=1,1,0))</f>
        <v/>
      </c>
    </row>
    <row r="1807">
      <c r="P1807" s="6">
        <f>IF($C1807="","",IF(COUNTIF($C$2:$C1807,$C1807)=1,1,0))</f>
        <v/>
      </c>
    </row>
    <row r="1808">
      <c r="P1808" s="6">
        <f>IF($C1808="","",IF(COUNTIF($C$2:$C1808,$C1808)=1,1,0))</f>
        <v/>
      </c>
    </row>
    <row r="1809">
      <c r="P1809" s="6">
        <f>IF($C1809="","",IF(COUNTIF($C$2:$C1809,$C1809)=1,1,0))</f>
        <v/>
      </c>
    </row>
    <row r="1810">
      <c r="P1810" s="6">
        <f>IF($C1810="","",IF(COUNTIF($C$2:$C1810,$C1810)=1,1,0))</f>
        <v/>
      </c>
    </row>
    <row r="1811">
      <c r="P1811" s="6">
        <f>IF($C1811="","",IF(COUNTIF($C$2:$C1811,$C1811)=1,1,0))</f>
        <v/>
      </c>
    </row>
    <row r="1812">
      <c r="P1812" s="6">
        <f>IF($C1812="","",IF(COUNTIF($C$2:$C1812,$C1812)=1,1,0))</f>
        <v/>
      </c>
    </row>
    <row r="1813">
      <c r="P1813" s="6">
        <f>IF($C1813="","",IF(COUNTIF($C$2:$C1813,$C1813)=1,1,0))</f>
        <v/>
      </c>
    </row>
    <row r="1814">
      <c r="P1814" s="6">
        <f>IF($C1814="","",IF(COUNTIF($C$2:$C1814,$C1814)=1,1,0))</f>
        <v/>
      </c>
    </row>
    <row r="1815">
      <c r="P1815" s="6">
        <f>IF($C1815="","",IF(COUNTIF($C$2:$C1815,$C1815)=1,1,0))</f>
        <v/>
      </c>
    </row>
    <row r="1816">
      <c r="P1816" s="6">
        <f>IF($C1816="","",IF(COUNTIF($C$2:$C1816,$C1816)=1,1,0))</f>
        <v/>
      </c>
    </row>
    <row r="1817">
      <c r="P1817" s="6">
        <f>IF($C1817="","",IF(COUNTIF($C$2:$C1817,$C1817)=1,1,0))</f>
        <v/>
      </c>
    </row>
    <row r="1818">
      <c r="P1818" s="6">
        <f>IF($C1818="","",IF(COUNTIF($C$2:$C1818,$C1818)=1,1,0))</f>
        <v/>
      </c>
    </row>
    <row r="1819">
      <c r="P1819" s="6">
        <f>IF($C1819="","",IF(COUNTIF($C$2:$C1819,$C1819)=1,1,0))</f>
        <v/>
      </c>
    </row>
    <row r="1820">
      <c r="P1820" s="6">
        <f>IF($C1820="","",IF(COUNTIF($C$2:$C1820,$C1820)=1,1,0))</f>
        <v/>
      </c>
    </row>
    <row r="1821">
      <c r="P1821" s="6">
        <f>IF($C1821="","",IF(COUNTIF($C$2:$C1821,$C1821)=1,1,0))</f>
        <v/>
      </c>
    </row>
    <row r="1822">
      <c r="P1822" s="6">
        <f>IF($C1822="","",IF(COUNTIF($C$2:$C1822,$C1822)=1,1,0))</f>
        <v/>
      </c>
    </row>
    <row r="1823">
      <c r="P1823" s="6">
        <f>IF($C1823="","",IF(COUNTIF($C$2:$C1823,$C1823)=1,1,0))</f>
        <v/>
      </c>
    </row>
    <row r="1824">
      <c r="P1824" s="6">
        <f>IF($C1824="","",IF(COUNTIF($C$2:$C1824,$C1824)=1,1,0))</f>
        <v/>
      </c>
    </row>
    <row r="1825">
      <c r="P1825" s="6">
        <f>IF($C1825="","",IF(COUNTIF($C$2:$C1825,$C1825)=1,1,0))</f>
        <v/>
      </c>
    </row>
    <row r="1826">
      <c r="P1826" s="6">
        <f>IF($C1826="","",IF(COUNTIF($C$2:$C1826,$C1826)=1,1,0))</f>
        <v/>
      </c>
    </row>
    <row r="1827">
      <c r="P1827" s="6">
        <f>IF($C1827="","",IF(COUNTIF($C$2:$C1827,$C1827)=1,1,0))</f>
        <v/>
      </c>
    </row>
    <row r="1828">
      <c r="P1828" s="6">
        <f>IF($C1828="","",IF(COUNTIF($C$2:$C1828,$C1828)=1,1,0))</f>
        <v/>
      </c>
    </row>
    <row r="1829">
      <c r="P1829" s="6">
        <f>IF($C1829="","",IF(COUNTIF($C$2:$C1829,$C1829)=1,1,0))</f>
        <v/>
      </c>
    </row>
    <row r="1830">
      <c r="P1830" s="6">
        <f>IF($C1830="","",IF(COUNTIF($C$2:$C1830,$C1830)=1,1,0))</f>
        <v/>
      </c>
    </row>
    <row r="1831">
      <c r="P1831" s="6">
        <f>IF($C1831="","",IF(COUNTIF($C$2:$C1831,$C1831)=1,1,0))</f>
        <v/>
      </c>
    </row>
    <row r="1832">
      <c r="P1832" s="6">
        <f>IF($C1832="","",IF(COUNTIF($C$2:$C1832,$C1832)=1,1,0))</f>
        <v/>
      </c>
    </row>
    <row r="1833">
      <c r="P1833" s="6">
        <f>IF($C1833="","",IF(COUNTIF($C$2:$C1833,$C1833)=1,1,0))</f>
        <v/>
      </c>
    </row>
    <row r="1834">
      <c r="P1834" s="6">
        <f>IF($C1834="","",IF(COUNTIF($C$2:$C1834,$C1834)=1,1,0))</f>
        <v/>
      </c>
    </row>
    <row r="1835">
      <c r="P1835" s="6">
        <f>IF($C1835="","",IF(COUNTIF($C$2:$C1835,$C1835)=1,1,0))</f>
        <v/>
      </c>
    </row>
    <row r="1836">
      <c r="P1836" s="6">
        <f>IF($C1836="","",IF(COUNTIF($C$2:$C1836,$C1836)=1,1,0))</f>
        <v/>
      </c>
    </row>
    <row r="1837">
      <c r="P1837" s="6">
        <f>IF($C1837="","",IF(COUNTIF($C$2:$C1837,$C1837)=1,1,0))</f>
        <v/>
      </c>
    </row>
    <row r="1838">
      <c r="P1838" s="6">
        <f>IF($C1838="","",IF(COUNTIF($C$2:$C1838,$C1838)=1,1,0))</f>
        <v/>
      </c>
    </row>
    <row r="1839">
      <c r="P1839" s="6">
        <f>IF($C1839="","",IF(COUNTIF($C$2:$C1839,$C1839)=1,1,0))</f>
        <v/>
      </c>
    </row>
    <row r="1840">
      <c r="P1840" s="6">
        <f>IF($C1840="","",IF(COUNTIF($C$2:$C1840,$C1840)=1,1,0))</f>
        <v/>
      </c>
    </row>
    <row r="1841">
      <c r="P1841" s="6">
        <f>IF($C1841="","",IF(COUNTIF($C$2:$C1841,$C1841)=1,1,0))</f>
        <v/>
      </c>
    </row>
    <row r="1842">
      <c r="P1842" s="6">
        <f>IF($C1842="","",IF(COUNTIF($C$2:$C1842,$C1842)=1,1,0))</f>
        <v/>
      </c>
    </row>
    <row r="1843">
      <c r="P1843" s="6">
        <f>IF($C1843="","",IF(COUNTIF($C$2:$C1843,$C1843)=1,1,0))</f>
        <v/>
      </c>
    </row>
    <row r="1844">
      <c r="P1844" s="6">
        <f>IF($C1844="","",IF(COUNTIF($C$2:$C1844,$C1844)=1,1,0))</f>
        <v/>
      </c>
    </row>
    <row r="1845">
      <c r="P1845" s="6">
        <f>IF($C1845="","",IF(COUNTIF($C$2:$C1845,$C1845)=1,1,0))</f>
        <v/>
      </c>
    </row>
    <row r="1846">
      <c r="P1846" s="6">
        <f>IF($C1846="","",IF(COUNTIF($C$2:$C1846,$C1846)=1,1,0))</f>
        <v/>
      </c>
    </row>
    <row r="1847">
      <c r="P1847" s="6">
        <f>IF($C1847="","",IF(COUNTIF($C$2:$C1847,$C1847)=1,1,0))</f>
        <v/>
      </c>
    </row>
    <row r="1848">
      <c r="P1848" s="6">
        <f>IF($C1848="","",IF(COUNTIF($C$2:$C1848,$C1848)=1,1,0))</f>
        <v/>
      </c>
    </row>
    <row r="1849">
      <c r="P1849" s="6">
        <f>IF($C1849="","",IF(COUNTIF($C$2:$C1849,$C1849)=1,1,0))</f>
        <v/>
      </c>
    </row>
    <row r="1850">
      <c r="P1850" s="6">
        <f>IF($C1850="","",IF(COUNTIF($C$2:$C1850,$C1850)=1,1,0))</f>
        <v/>
      </c>
    </row>
    <row r="1851">
      <c r="P1851" s="6">
        <f>IF($C1851="","",IF(COUNTIF($C$2:$C1851,$C1851)=1,1,0))</f>
        <v/>
      </c>
    </row>
    <row r="1852">
      <c r="P1852" s="6">
        <f>IF($C1852="","",IF(COUNTIF($C$2:$C1852,$C1852)=1,1,0))</f>
        <v/>
      </c>
    </row>
    <row r="1853">
      <c r="P1853" s="6">
        <f>IF($C1853="","",IF(COUNTIF($C$2:$C1853,$C1853)=1,1,0))</f>
        <v/>
      </c>
    </row>
    <row r="1854">
      <c r="P1854" s="6">
        <f>IF($C1854="","",IF(COUNTIF($C$2:$C1854,$C1854)=1,1,0))</f>
        <v/>
      </c>
    </row>
    <row r="1855">
      <c r="P1855" s="6">
        <f>IF($C1855="","",IF(COUNTIF($C$2:$C1855,$C1855)=1,1,0))</f>
        <v/>
      </c>
    </row>
    <row r="1856">
      <c r="P1856" s="6">
        <f>IF($C1856="","",IF(COUNTIF($C$2:$C1856,$C1856)=1,1,0))</f>
        <v/>
      </c>
    </row>
    <row r="1857">
      <c r="P1857" s="6">
        <f>IF($C1857="","",IF(COUNTIF($C$2:$C1857,$C1857)=1,1,0))</f>
        <v/>
      </c>
    </row>
    <row r="1858">
      <c r="P1858" s="6">
        <f>IF($C1858="","",IF(COUNTIF($C$2:$C1858,$C1858)=1,1,0))</f>
        <v/>
      </c>
    </row>
    <row r="1859">
      <c r="P1859" s="6">
        <f>IF($C1859="","",IF(COUNTIF($C$2:$C1859,$C1859)=1,1,0))</f>
        <v/>
      </c>
    </row>
    <row r="1860">
      <c r="P1860" s="6">
        <f>IF($C1860="","",IF(COUNTIF($C$2:$C1860,$C1860)=1,1,0))</f>
        <v/>
      </c>
    </row>
    <row r="1861">
      <c r="P1861" s="6">
        <f>IF($C1861="","",IF(COUNTIF($C$2:$C1861,$C1861)=1,1,0))</f>
        <v/>
      </c>
    </row>
    <row r="1862">
      <c r="P1862" s="6">
        <f>IF($C1862="","",IF(COUNTIF($C$2:$C1862,$C1862)=1,1,0))</f>
        <v/>
      </c>
    </row>
    <row r="1863">
      <c r="P1863" s="6">
        <f>IF($C1863="","",IF(COUNTIF($C$2:$C1863,$C1863)=1,1,0))</f>
        <v/>
      </c>
    </row>
    <row r="1864">
      <c r="P1864" s="6">
        <f>IF($C1864="","",IF(COUNTIF($C$2:$C1864,$C1864)=1,1,0))</f>
        <v/>
      </c>
    </row>
    <row r="1865">
      <c r="P1865" s="6">
        <f>IF($C1865="","",IF(COUNTIF($C$2:$C1865,$C1865)=1,1,0))</f>
        <v/>
      </c>
    </row>
    <row r="1866">
      <c r="P1866" s="6">
        <f>IF($C1866="","",IF(COUNTIF($C$2:$C1866,$C1866)=1,1,0))</f>
        <v/>
      </c>
    </row>
    <row r="1867">
      <c r="P1867" s="6">
        <f>IF($C1867="","",IF(COUNTIF($C$2:$C1867,$C1867)=1,1,0))</f>
        <v/>
      </c>
    </row>
    <row r="1868">
      <c r="P1868" s="6">
        <f>IF($C1868="","",IF(COUNTIF($C$2:$C1868,$C1868)=1,1,0))</f>
        <v/>
      </c>
    </row>
    <row r="1869">
      <c r="P1869" s="6">
        <f>IF($C1869="","",IF(COUNTIF($C$2:$C1869,$C1869)=1,1,0))</f>
        <v/>
      </c>
    </row>
    <row r="1870">
      <c r="P1870" s="6">
        <f>IF($C1870="","",IF(COUNTIF($C$2:$C1870,$C1870)=1,1,0))</f>
        <v/>
      </c>
    </row>
    <row r="1871">
      <c r="P1871" s="6">
        <f>IF($C1871="","",IF(COUNTIF($C$2:$C1871,$C1871)=1,1,0))</f>
        <v/>
      </c>
    </row>
    <row r="1872">
      <c r="P1872" s="6">
        <f>IF($C1872="","",IF(COUNTIF($C$2:$C1872,$C1872)=1,1,0))</f>
        <v/>
      </c>
    </row>
    <row r="1873">
      <c r="P1873" s="6">
        <f>IF($C1873="","",IF(COUNTIF($C$2:$C1873,$C1873)=1,1,0))</f>
        <v/>
      </c>
    </row>
    <row r="1874">
      <c r="P1874" s="6">
        <f>IF($C1874="","",IF(COUNTIF($C$2:$C1874,$C1874)=1,1,0))</f>
        <v/>
      </c>
    </row>
    <row r="1875">
      <c r="P1875" s="6">
        <f>IF($C1875="","",IF(COUNTIF($C$2:$C1875,$C1875)=1,1,0))</f>
        <v/>
      </c>
    </row>
    <row r="1876">
      <c r="P1876" s="6">
        <f>IF($C1876="","",IF(COUNTIF($C$2:$C1876,$C1876)=1,1,0))</f>
        <v/>
      </c>
    </row>
    <row r="1877">
      <c r="P1877" s="6">
        <f>IF($C1877="","",IF(COUNTIF($C$2:$C1877,$C1877)=1,1,0))</f>
        <v/>
      </c>
    </row>
    <row r="1878">
      <c r="P1878" s="6">
        <f>IF($C1878="","",IF(COUNTIF($C$2:$C1878,$C1878)=1,1,0))</f>
        <v/>
      </c>
    </row>
    <row r="1879">
      <c r="P1879" s="6">
        <f>IF($C1879="","",IF(COUNTIF($C$2:$C1879,$C1879)=1,1,0))</f>
        <v/>
      </c>
    </row>
    <row r="1880">
      <c r="P1880" s="6">
        <f>IF($C1880="","",IF(COUNTIF($C$2:$C1880,$C1880)=1,1,0))</f>
        <v/>
      </c>
    </row>
    <row r="1881">
      <c r="P1881" s="6">
        <f>IF($C1881="","",IF(COUNTIF($C$2:$C1881,$C1881)=1,1,0))</f>
        <v/>
      </c>
    </row>
    <row r="1882">
      <c r="P1882" s="6">
        <f>IF($C1882="","",IF(COUNTIF($C$2:$C1882,$C1882)=1,1,0))</f>
        <v/>
      </c>
    </row>
    <row r="1883">
      <c r="P1883" s="6">
        <f>IF($C1883="","",IF(COUNTIF($C$2:$C1883,$C1883)=1,1,0))</f>
        <v/>
      </c>
    </row>
    <row r="1884">
      <c r="P1884" s="6">
        <f>IF($C1884="","",IF(COUNTIF($C$2:$C1884,$C1884)=1,1,0))</f>
        <v/>
      </c>
    </row>
    <row r="1885">
      <c r="P1885" s="6">
        <f>IF($C1885="","",IF(COUNTIF($C$2:$C1885,$C1885)=1,1,0))</f>
        <v/>
      </c>
    </row>
    <row r="1886">
      <c r="P1886" s="6">
        <f>IF($C1886="","",IF(COUNTIF($C$2:$C1886,$C1886)=1,1,0))</f>
        <v/>
      </c>
    </row>
    <row r="1887">
      <c r="P1887" s="6">
        <f>IF($C1887="","",IF(COUNTIF($C$2:$C1887,$C1887)=1,1,0))</f>
        <v/>
      </c>
    </row>
    <row r="1888">
      <c r="P1888" s="6">
        <f>IF($C1888="","",IF(COUNTIF($C$2:$C1888,$C1888)=1,1,0))</f>
        <v/>
      </c>
    </row>
    <row r="1889">
      <c r="P1889" s="6">
        <f>IF($C1889="","",IF(COUNTIF($C$2:$C1889,$C1889)=1,1,0))</f>
        <v/>
      </c>
    </row>
    <row r="1890">
      <c r="P1890" s="6">
        <f>IF($C1890="","",IF(COUNTIF($C$2:$C1890,$C1890)=1,1,0))</f>
        <v/>
      </c>
    </row>
    <row r="1891">
      <c r="P1891" s="6">
        <f>IF($C1891="","",IF(COUNTIF($C$2:$C1891,$C1891)=1,1,0))</f>
        <v/>
      </c>
    </row>
    <row r="1892">
      <c r="P1892" s="6">
        <f>IF($C1892="","",IF(COUNTIF($C$2:$C1892,$C1892)=1,1,0))</f>
        <v/>
      </c>
    </row>
    <row r="1893">
      <c r="P1893" s="6">
        <f>IF($C1893="","",IF(COUNTIF($C$2:$C1893,$C1893)=1,1,0))</f>
        <v/>
      </c>
    </row>
    <row r="1894">
      <c r="P1894" s="6">
        <f>IF($C1894="","",IF(COUNTIF($C$2:$C1894,$C1894)=1,1,0))</f>
        <v/>
      </c>
    </row>
    <row r="1895">
      <c r="P1895" s="6">
        <f>IF($C1895="","",IF(COUNTIF($C$2:$C1895,$C1895)=1,1,0))</f>
        <v/>
      </c>
    </row>
    <row r="1896">
      <c r="P1896" s="6">
        <f>IF($C1896="","",IF(COUNTIF($C$2:$C1896,$C1896)=1,1,0))</f>
        <v/>
      </c>
    </row>
    <row r="1897">
      <c r="P1897" s="6">
        <f>IF($C1897="","",IF(COUNTIF($C$2:$C1897,$C1897)=1,1,0))</f>
        <v/>
      </c>
    </row>
    <row r="1898">
      <c r="P1898" s="6">
        <f>IF($C1898="","",IF(COUNTIF($C$2:$C1898,$C1898)=1,1,0))</f>
        <v/>
      </c>
    </row>
    <row r="1899">
      <c r="P1899" s="6">
        <f>IF($C1899="","",IF(COUNTIF($C$2:$C1899,$C1899)=1,1,0))</f>
        <v/>
      </c>
    </row>
    <row r="1900">
      <c r="P1900" s="6">
        <f>IF($C1900="","",IF(COUNTIF($C$2:$C1900,$C1900)=1,1,0))</f>
        <v/>
      </c>
    </row>
    <row r="1901">
      <c r="P1901" s="6">
        <f>IF($C1901="","",IF(COUNTIF($C$2:$C1901,$C1901)=1,1,0))</f>
        <v/>
      </c>
    </row>
    <row r="1902">
      <c r="P1902" s="6">
        <f>IF($C1902="","",IF(COUNTIF($C$2:$C1902,$C1902)=1,1,0))</f>
        <v/>
      </c>
    </row>
    <row r="1903">
      <c r="P1903" s="6">
        <f>IF($C1903="","",IF(COUNTIF($C$2:$C1903,$C1903)=1,1,0))</f>
        <v/>
      </c>
    </row>
    <row r="1904">
      <c r="P1904" s="6">
        <f>IF($C1904="","",IF(COUNTIF($C$2:$C1904,$C1904)=1,1,0))</f>
        <v/>
      </c>
    </row>
    <row r="1905">
      <c r="P1905" s="6">
        <f>IF($C1905="","",IF(COUNTIF($C$2:$C1905,$C1905)=1,1,0))</f>
        <v/>
      </c>
    </row>
    <row r="1906">
      <c r="P1906" s="6">
        <f>IF($C1906="","",IF(COUNTIF($C$2:$C1906,$C1906)=1,1,0))</f>
        <v/>
      </c>
    </row>
    <row r="1907">
      <c r="P1907" s="6">
        <f>IF($C1907="","",IF(COUNTIF($C$2:$C1907,$C1907)=1,1,0))</f>
        <v/>
      </c>
    </row>
    <row r="1908">
      <c r="P1908" s="6">
        <f>IF($C1908="","",IF(COUNTIF($C$2:$C1908,$C1908)=1,1,0))</f>
        <v/>
      </c>
    </row>
    <row r="1909">
      <c r="P1909" s="6">
        <f>IF($C1909="","",IF(COUNTIF($C$2:$C1909,$C1909)=1,1,0))</f>
        <v/>
      </c>
    </row>
    <row r="1910">
      <c r="P1910" s="6">
        <f>IF($C1910="","",IF(COUNTIF($C$2:$C1910,$C1910)=1,1,0))</f>
        <v/>
      </c>
    </row>
    <row r="1911">
      <c r="P1911" s="6">
        <f>IF($C1911="","",IF(COUNTIF($C$2:$C1911,$C1911)=1,1,0))</f>
        <v/>
      </c>
    </row>
    <row r="1912">
      <c r="P1912" s="6">
        <f>IF($C1912="","",IF(COUNTIF($C$2:$C1912,$C1912)=1,1,0))</f>
        <v/>
      </c>
    </row>
    <row r="1913">
      <c r="P1913" s="6">
        <f>IF($C1913="","",IF(COUNTIF($C$2:$C1913,$C1913)=1,1,0))</f>
        <v/>
      </c>
    </row>
    <row r="1914">
      <c r="P1914" s="6">
        <f>IF($C1914="","",IF(COUNTIF($C$2:$C1914,$C1914)=1,1,0))</f>
        <v/>
      </c>
    </row>
    <row r="1915">
      <c r="P1915" s="6">
        <f>IF($C1915="","",IF(COUNTIF($C$2:$C1915,$C1915)=1,1,0))</f>
        <v/>
      </c>
    </row>
    <row r="1916">
      <c r="P1916" s="6">
        <f>IF($C1916="","",IF(COUNTIF($C$2:$C1916,$C1916)=1,1,0))</f>
        <v/>
      </c>
    </row>
    <row r="1917">
      <c r="P1917" s="6">
        <f>IF($C1917="","",IF(COUNTIF($C$2:$C1917,$C1917)=1,1,0))</f>
        <v/>
      </c>
    </row>
    <row r="1918">
      <c r="P1918" s="6">
        <f>IF($C1918="","",IF(COUNTIF($C$2:$C1918,$C1918)=1,1,0))</f>
        <v/>
      </c>
    </row>
    <row r="1919">
      <c r="P1919" s="6">
        <f>IF($C1919="","",IF(COUNTIF($C$2:$C1919,$C1919)=1,1,0))</f>
        <v/>
      </c>
    </row>
    <row r="1920">
      <c r="P1920" s="6">
        <f>IF($C1920="","",IF(COUNTIF($C$2:$C1920,$C1920)=1,1,0))</f>
        <v/>
      </c>
    </row>
    <row r="1921">
      <c r="P1921" s="6">
        <f>IF($C1921="","",IF(COUNTIF($C$2:$C1921,$C1921)=1,1,0))</f>
        <v/>
      </c>
    </row>
    <row r="1922">
      <c r="P1922" s="6">
        <f>IF($C1922="","",IF(COUNTIF($C$2:$C1922,$C1922)=1,1,0))</f>
        <v/>
      </c>
    </row>
    <row r="1923">
      <c r="P1923" s="6">
        <f>IF($C1923="","",IF(COUNTIF($C$2:$C1923,$C1923)=1,1,0))</f>
        <v/>
      </c>
    </row>
    <row r="1924">
      <c r="P1924" s="6">
        <f>IF($C1924="","",IF(COUNTIF($C$2:$C1924,$C1924)=1,1,0))</f>
        <v/>
      </c>
    </row>
    <row r="1925">
      <c r="P1925" s="6">
        <f>IF($C1925="","",IF(COUNTIF($C$2:$C1925,$C1925)=1,1,0))</f>
        <v/>
      </c>
    </row>
    <row r="1926">
      <c r="P1926" s="6">
        <f>IF($C1926="","",IF(COUNTIF($C$2:$C1926,$C1926)=1,1,0))</f>
        <v/>
      </c>
    </row>
    <row r="1927">
      <c r="P1927" s="6">
        <f>IF($C1927="","",IF(COUNTIF($C$2:$C1927,$C1927)=1,1,0))</f>
        <v/>
      </c>
    </row>
    <row r="1928">
      <c r="P1928" s="6">
        <f>IF($C1928="","",IF(COUNTIF($C$2:$C1928,$C1928)=1,1,0))</f>
        <v/>
      </c>
    </row>
    <row r="1929">
      <c r="P1929" s="6">
        <f>IF($C1929="","",IF(COUNTIF($C$2:$C1929,$C1929)=1,1,0))</f>
        <v/>
      </c>
    </row>
    <row r="1930">
      <c r="P1930" s="6">
        <f>IF($C1930="","",IF(COUNTIF($C$2:$C1930,$C1930)=1,1,0))</f>
        <v/>
      </c>
    </row>
    <row r="1931">
      <c r="P1931" s="6">
        <f>IF($C1931="","",IF(COUNTIF($C$2:$C1931,$C1931)=1,1,0))</f>
        <v/>
      </c>
    </row>
    <row r="1932">
      <c r="P1932" s="6">
        <f>IF($C1932="","",IF(COUNTIF($C$2:$C1932,$C1932)=1,1,0))</f>
        <v/>
      </c>
    </row>
    <row r="1933">
      <c r="P1933" s="6">
        <f>IF($C1933="","",IF(COUNTIF($C$2:$C1933,$C1933)=1,1,0))</f>
        <v/>
      </c>
    </row>
    <row r="1934">
      <c r="P1934" s="6">
        <f>IF($C1934="","",IF(COUNTIF($C$2:$C1934,$C1934)=1,1,0))</f>
        <v/>
      </c>
    </row>
    <row r="1935">
      <c r="P1935" s="6">
        <f>IF($C1935="","",IF(COUNTIF($C$2:$C1935,$C1935)=1,1,0))</f>
        <v/>
      </c>
    </row>
    <row r="1936">
      <c r="P1936" s="6">
        <f>IF($C1936="","",IF(COUNTIF($C$2:$C1936,$C1936)=1,1,0))</f>
        <v/>
      </c>
    </row>
    <row r="1937">
      <c r="P1937" s="6">
        <f>IF($C1937="","",IF(COUNTIF($C$2:$C1937,$C1937)=1,1,0))</f>
        <v/>
      </c>
    </row>
    <row r="1938">
      <c r="P1938" s="6">
        <f>IF($C1938="","",IF(COUNTIF($C$2:$C1938,$C1938)=1,1,0))</f>
        <v/>
      </c>
    </row>
    <row r="1939">
      <c r="P1939" s="6">
        <f>IF($C1939="","",IF(COUNTIF($C$2:$C1939,$C1939)=1,1,0))</f>
        <v/>
      </c>
    </row>
    <row r="1940">
      <c r="P1940" s="6">
        <f>IF($C1940="","",IF(COUNTIF($C$2:$C1940,$C1940)=1,1,0))</f>
        <v/>
      </c>
    </row>
    <row r="1941">
      <c r="P1941" s="6">
        <f>IF($C1941="","",IF(COUNTIF($C$2:$C1941,$C1941)=1,1,0))</f>
        <v/>
      </c>
    </row>
    <row r="1942">
      <c r="P1942" s="6">
        <f>IF($C1942="","",IF(COUNTIF($C$2:$C1942,$C1942)=1,1,0))</f>
        <v/>
      </c>
    </row>
    <row r="1943">
      <c r="P1943" s="6">
        <f>IF($C1943="","",IF(COUNTIF($C$2:$C1943,$C1943)=1,1,0))</f>
        <v/>
      </c>
    </row>
    <row r="1944">
      <c r="P1944" s="6">
        <f>IF($C1944="","",IF(COUNTIF($C$2:$C1944,$C1944)=1,1,0))</f>
        <v/>
      </c>
    </row>
    <row r="1945">
      <c r="P1945" s="6">
        <f>IF($C1945="","",IF(COUNTIF($C$2:$C1945,$C1945)=1,1,0))</f>
        <v/>
      </c>
    </row>
    <row r="1946">
      <c r="P1946" s="6">
        <f>IF($C1946="","",IF(COUNTIF($C$2:$C1946,$C1946)=1,1,0))</f>
        <v/>
      </c>
    </row>
    <row r="1947">
      <c r="P1947" s="6">
        <f>IF($C1947="","",IF(COUNTIF($C$2:$C1947,$C1947)=1,1,0))</f>
        <v/>
      </c>
    </row>
    <row r="1948">
      <c r="P1948" s="6">
        <f>IF($C1948="","",IF(COUNTIF($C$2:$C1948,$C1948)=1,1,0))</f>
        <v/>
      </c>
    </row>
    <row r="1949">
      <c r="P1949" s="6">
        <f>IF($C1949="","",IF(COUNTIF($C$2:$C1949,$C1949)=1,1,0))</f>
        <v/>
      </c>
    </row>
    <row r="1950">
      <c r="P1950" s="6">
        <f>IF($C1950="","",IF(COUNTIF($C$2:$C1950,$C1950)=1,1,0))</f>
        <v/>
      </c>
    </row>
    <row r="1951">
      <c r="P1951" s="6">
        <f>IF($C1951="","",IF(COUNTIF($C$2:$C1951,$C1951)=1,1,0))</f>
        <v/>
      </c>
    </row>
    <row r="1952">
      <c r="P1952" s="6">
        <f>IF($C1952="","",IF(COUNTIF($C$2:$C1952,$C1952)=1,1,0))</f>
        <v/>
      </c>
    </row>
    <row r="1953">
      <c r="P1953" s="6">
        <f>IF($C1953="","",IF(COUNTIF($C$2:$C1953,$C1953)=1,1,0))</f>
        <v/>
      </c>
    </row>
    <row r="1954">
      <c r="P1954" s="6">
        <f>IF($C1954="","",IF(COUNTIF($C$2:$C1954,$C1954)=1,1,0))</f>
        <v/>
      </c>
    </row>
    <row r="1955">
      <c r="P1955" s="6">
        <f>IF($C1955="","",IF(COUNTIF($C$2:$C1955,$C1955)=1,1,0))</f>
        <v/>
      </c>
    </row>
    <row r="1956">
      <c r="P1956" s="6">
        <f>IF($C1956="","",IF(COUNTIF($C$2:$C1956,$C1956)=1,1,0))</f>
        <v/>
      </c>
    </row>
    <row r="1957">
      <c r="P1957" s="6">
        <f>IF($C1957="","",IF(COUNTIF($C$2:$C1957,$C1957)=1,1,0))</f>
        <v/>
      </c>
    </row>
    <row r="1958">
      <c r="P1958" s="6">
        <f>IF($C1958="","",IF(COUNTIF($C$2:$C1958,$C1958)=1,1,0))</f>
        <v/>
      </c>
    </row>
    <row r="1959">
      <c r="P1959" s="6">
        <f>IF($C1959="","",IF(COUNTIF($C$2:$C1959,$C1959)=1,1,0))</f>
        <v/>
      </c>
    </row>
    <row r="1960">
      <c r="P1960" s="6">
        <f>IF($C1960="","",IF(COUNTIF($C$2:$C1960,$C1960)=1,1,0))</f>
        <v/>
      </c>
    </row>
    <row r="1961">
      <c r="P1961" s="6">
        <f>IF($C1961="","",IF(COUNTIF($C$2:$C1961,$C1961)=1,1,0))</f>
        <v/>
      </c>
    </row>
    <row r="1962">
      <c r="P1962" s="6">
        <f>IF($C1962="","",IF(COUNTIF($C$2:$C1962,$C1962)=1,1,0))</f>
        <v/>
      </c>
    </row>
    <row r="1963">
      <c r="P1963" s="6">
        <f>IF($C1963="","",IF(COUNTIF($C$2:$C1963,$C1963)=1,1,0))</f>
        <v/>
      </c>
    </row>
    <row r="1964">
      <c r="P1964" s="6">
        <f>IF($C1964="","",IF(COUNTIF($C$2:$C1964,$C1964)=1,1,0))</f>
        <v/>
      </c>
    </row>
    <row r="1965">
      <c r="P1965" s="6">
        <f>IF($C1965="","",IF(COUNTIF($C$2:$C1965,$C1965)=1,1,0))</f>
        <v/>
      </c>
    </row>
    <row r="1966">
      <c r="P1966" s="6">
        <f>IF($C1966="","",IF(COUNTIF($C$2:$C1966,$C1966)=1,1,0))</f>
        <v/>
      </c>
    </row>
    <row r="1967">
      <c r="P1967" s="6">
        <f>IF($C1967="","",IF(COUNTIF($C$2:$C1967,$C1967)=1,1,0))</f>
        <v/>
      </c>
    </row>
    <row r="1968">
      <c r="P1968" s="6">
        <f>IF($C1968="","",IF(COUNTIF($C$2:$C1968,$C1968)=1,1,0))</f>
        <v/>
      </c>
    </row>
    <row r="1969">
      <c r="P1969" s="6">
        <f>IF($C1969="","",IF(COUNTIF($C$2:$C1969,$C1969)=1,1,0))</f>
        <v/>
      </c>
    </row>
    <row r="1970">
      <c r="P1970" s="6">
        <f>IF($C1970="","",IF(COUNTIF($C$2:$C1970,$C1970)=1,1,0))</f>
        <v/>
      </c>
    </row>
    <row r="1971">
      <c r="P1971" s="6">
        <f>IF($C1971="","",IF(COUNTIF($C$2:$C1971,$C1971)=1,1,0))</f>
        <v/>
      </c>
    </row>
    <row r="1972">
      <c r="P1972" s="6">
        <f>IF($C1972="","",IF(COUNTIF($C$2:$C1972,$C1972)=1,1,0))</f>
        <v/>
      </c>
    </row>
    <row r="1973">
      <c r="P1973" s="6">
        <f>IF($C1973="","",IF(COUNTIF($C$2:$C1973,$C1973)=1,1,0))</f>
        <v/>
      </c>
    </row>
    <row r="1974">
      <c r="P1974" s="6">
        <f>IF($C1974="","",IF(COUNTIF($C$2:$C1974,$C1974)=1,1,0))</f>
        <v/>
      </c>
    </row>
    <row r="1975">
      <c r="P1975" s="6">
        <f>IF($C1975="","",IF(COUNTIF($C$2:$C1975,$C1975)=1,1,0))</f>
        <v/>
      </c>
    </row>
    <row r="1976">
      <c r="P1976" s="6">
        <f>IF($C1976="","",IF(COUNTIF($C$2:$C1976,$C1976)=1,1,0))</f>
        <v/>
      </c>
    </row>
    <row r="1977">
      <c r="P1977" s="6">
        <f>IF($C1977="","",IF(COUNTIF($C$2:$C1977,$C1977)=1,1,0))</f>
        <v/>
      </c>
    </row>
    <row r="1978">
      <c r="P1978" s="6">
        <f>IF($C1978="","",IF(COUNTIF($C$2:$C1978,$C1978)=1,1,0))</f>
        <v/>
      </c>
    </row>
    <row r="1979">
      <c r="P1979" s="6">
        <f>IF($C1979="","",IF(COUNTIF($C$2:$C1979,$C1979)=1,1,0))</f>
        <v/>
      </c>
    </row>
    <row r="1980">
      <c r="P1980" s="6">
        <f>IF($C1980="","",IF(COUNTIF($C$2:$C1980,$C1980)=1,1,0))</f>
        <v/>
      </c>
    </row>
    <row r="1981">
      <c r="P1981" s="6">
        <f>IF($C1981="","",IF(COUNTIF($C$2:$C1981,$C1981)=1,1,0))</f>
        <v/>
      </c>
    </row>
    <row r="1982">
      <c r="P1982" s="6">
        <f>IF($C1982="","",IF(COUNTIF($C$2:$C1982,$C1982)=1,1,0))</f>
        <v/>
      </c>
    </row>
    <row r="1983">
      <c r="P1983" s="6">
        <f>IF($C1983="","",IF(COUNTIF($C$2:$C1983,$C1983)=1,1,0))</f>
        <v/>
      </c>
    </row>
    <row r="1984">
      <c r="P1984" s="6">
        <f>IF($C1984="","",IF(COUNTIF($C$2:$C1984,$C1984)=1,1,0))</f>
        <v/>
      </c>
    </row>
    <row r="1985">
      <c r="P1985" s="6">
        <f>IF($C1985="","",IF(COUNTIF($C$2:$C1985,$C1985)=1,1,0))</f>
        <v/>
      </c>
    </row>
    <row r="1986">
      <c r="P1986" s="6">
        <f>IF($C1986="","",IF(COUNTIF($C$2:$C1986,$C1986)=1,1,0))</f>
        <v/>
      </c>
    </row>
    <row r="1987">
      <c r="P1987" s="6">
        <f>IF($C1987="","",IF(COUNTIF($C$2:$C1987,$C1987)=1,1,0))</f>
        <v/>
      </c>
    </row>
    <row r="1988">
      <c r="P1988" s="6">
        <f>IF($C1988="","",IF(COUNTIF($C$2:$C1988,$C1988)=1,1,0))</f>
        <v/>
      </c>
    </row>
    <row r="1989">
      <c r="P1989" s="6">
        <f>IF($C1989="","",IF(COUNTIF($C$2:$C1989,$C1989)=1,1,0))</f>
        <v/>
      </c>
    </row>
    <row r="1990">
      <c r="P1990" s="6">
        <f>IF($C1990="","",IF(COUNTIF($C$2:$C1990,$C1990)=1,1,0))</f>
        <v/>
      </c>
    </row>
    <row r="1991">
      <c r="P1991" s="6">
        <f>IF($C1991="","",IF(COUNTIF($C$2:$C1991,$C1991)=1,1,0))</f>
        <v/>
      </c>
    </row>
    <row r="1992">
      <c r="P1992" s="6">
        <f>IF($C1992="","",IF(COUNTIF($C$2:$C1992,$C1992)=1,1,0))</f>
        <v/>
      </c>
    </row>
    <row r="1993">
      <c r="P1993" s="6">
        <f>IF($C1993="","",IF(COUNTIF($C$2:$C1993,$C1993)=1,1,0))</f>
        <v/>
      </c>
    </row>
    <row r="1994">
      <c r="P1994" s="6">
        <f>IF($C1994="","",IF(COUNTIF($C$2:$C1994,$C1994)=1,1,0))</f>
        <v/>
      </c>
    </row>
    <row r="1995">
      <c r="P1995" s="6">
        <f>IF($C1995="","",IF(COUNTIF($C$2:$C1995,$C1995)=1,1,0))</f>
        <v/>
      </c>
    </row>
    <row r="1996">
      <c r="P1996" s="6">
        <f>IF($C1996="","",IF(COUNTIF($C$2:$C1996,$C1996)=1,1,0))</f>
        <v/>
      </c>
    </row>
    <row r="1997">
      <c r="P1997" s="6">
        <f>IF($C1997="","",IF(COUNTIF($C$2:$C1997,$C1997)=1,1,0))</f>
        <v/>
      </c>
    </row>
    <row r="1998">
      <c r="P1998" s="6">
        <f>IF($C1998="","",IF(COUNTIF($C$2:$C1998,$C1998)=1,1,0))</f>
        <v/>
      </c>
    </row>
    <row r="1999">
      <c r="P1999" s="6">
        <f>IF($C1999="","",IF(COUNTIF($C$2:$C1999,$C1999)=1,1,0))</f>
        <v/>
      </c>
    </row>
    <row r="2000">
      <c r="P2000" s="6">
        <f>IF($C2000="","",IF(COUNTIF($C$2:$C2000,$C2000)=1,1,0))</f>
        <v/>
      </c>
    </row>
    <row r="2001">
      <c r="P2001" s="6">
        <f>IF($C2001="","",IF(COUNTIF($C$2:$C2001,$C2001)=1,1,0))</f>
        <v/>
      </c>
    </row>
    <row r="2002">
      <c r="P2002" s="6">
        <f>IF($C2002="","",IF(COUNTIF($C$2:$C2002,$C2002)=1,1,0))</f>
        <v/>
      </c>
    </row>
    <row r="2003">
      <c r="P2003" s="6">
        <f>IF($C2003="","",IF(COUNTIF($C$2:$C2003,$C2003)=1,1,0))</f>
        <v/>
      </c>
    </row>
    <row r="2004">
      <c r="P2004" s="6">
        <f>IF($C2004="","",IF(COUNTIF($C$2:$C2004,$C2004)=1,1,0))</f>
        <v/>
      </c>
    </row>
    <row r="2005">
      <c r="P2005" s="6">
        <f>IF($C2005="","",IF(COUNTIF($C$2:$C2005,$C2005)=1,1,0))</f>
        <v/>
      </c>
    </row>
    <row r="2006">
      <c r="P2006" s="6">
        <f>IF($C2006="","",IF(COUNTIF($C$2:$C2006,$C2006)=1,1,0))</f>
        <v/>
      </c>
    </row>
    <row r="2007">
      <c r="P2007" s="6">
        <f>IF($C2007="","",IF(COUNTIF($C$2:$C2007,$C2007)=1,1,0))</f>
        <v/>
      </c>
    </row>
    <row r="2008">
      <c r="P2008" s="6">
        <f>IF($C2008="","",IF(COUNTIF($C$2:$C2008,$C2008)=1,1,0))</f>
        <v/>
      </c>
    </row>
    <row r="2009">
      <c r="P2009" s="6">
        <f>IF($C2009="","",IF(COUNTIF($C$2:$C2009,$C2009)=1,1,0))</f>
        <v/>
      </c>
    </row>
    <row r="2010">
      <c r="P2010" s="6">
        <f>IF($C2010="","",IF(COUNTIF($C$2:$C2010,$C2010)=1,1,0))</f>
        <v/>
      </c>
    </row>
    <row r="2011">
      <c r="P2011" s="6">
        <f>IF($C2011="","",IF(COUNTIF($C$2:$C2011,$C2011)=1,1,0))</f>
        <v/>
      </c>
    </row>
    <row r="2012">
      <c r="P2012" s="6">
        <f>IF($C2012="","",IF(COUNTIF($C$2:$C2012,$C2012)=1,1,0))</f>
        <v/>
      </c>
    </row>
    <row r="2013">
      <c r="P2013" s="6">
        <f>IF($C2013="","",IF(COUNTIF($C$2:$C2013,$C2013)=1,1,0))</f>
        <v/>
      </c>
    </row>
    <row r="2014">
      <c r="P2014" s="6">
        <f>IF($C2014="","",IF(COUNTIF($C$2:$C2014,$C2014)=1,1,0))</f>
        <v/>
      </c>
    </row>
    <row r="2015">
      <c r="P2015" s="6">
        <f>IF($C2015="","",IF(COUNTIF($C$2:$C2015,$C2015)=1,1,0))</f>
        <v/>
      </c>
    </row>
    <row r="2016">
      <c r="P2016" s="6">
        <f>IF($C2016="","",IF(COUNTIF($C$2:$C2016,$C2016)=1,1,0))</f>
        <v/>
      </c>
    </row>
    <row r="2017">
      <c r="P2017" s="6">
        <f>IF($C2017="","",IF(COUNTIF($C$2:$C2017,$C2017)=1,1,0))</f>
        <v/>
      </c>
    </row>
    <row r="2018">
      <c r="P2018" s="6">
        <f>IF($C2018="","",IF(COUNTIF($C$2:$C2018,$C2018)=1,1,0))</f>
        <v/>
      </c>
    </row>
    <row r="2019">
      <c r="P2019" s="6">
        <f>IF($C2019="","",IF(COUNTIF($C$2:$C2019,$C2019)=1,1,0))</f>
        <v/>
      </c>
    </row>
    <row r="2020">
      <c r="P2020" s="6">
        <f>IF($C2020="","",IF(COUNTIF($C$2:$C2020,$C2020)=1,1,0))</f>
        <v/>
      </c>
    </row>
    <row r="2021">
      <c r="P2021" s="6">
        <f>IF($C2021="","",IF(COUNTIF($C$2:$C2021,$C2021)=1,1,0))</f>
        <v/>
      </c>
    </row>
    <row r="2022">
      <c r="P2022" s="6">
        <f>IF($C2022="","",IF(COUNTIF($C$2:$C2022,$C2022)=1,1,0))</f>
        <v/>
      </c>
    </row>
    <row r="2023">
      <c r="P2023" s="6">
        <f>IF($C2023="","",IF(COUNTIF($C$2:$C2023,$C2023)=1,1,0))</f>
        <v/>
      </c>
    </row>
    <row r="2024">
      <c r="P2024" s="6">
        <f>IF($C2024="","",IF(COUNTIF($C$2:$C2024,$C2024)=1,1,0))</f>
        <v/>
      </c>
    </row>
    <row r="2025">
      <c r="P2025" s="6">
        <f>IF($C2025="","",IF(COUNTIF($C$2:$C2025,$C2025)=1,1,0))</f>
        <v/>
      </c>
    </row>
    <row r="2026">
      <c r="P2026" s="6">
        <f>IF($C2026="","",IF(COUNTIF($C$2:$C2026,$C2026)=1,1,0))</f>
        <v/>
      </c>
    </row>
    <row r="2027">
      <c r="P2027" s="6">
        <f>IF($C2027="","",IF(COUNTIF($C$2:$C2027,$C2027)=1,1,0))</f>
        <v/>
      </c>
    </row>
    <row r="2028">
      <c r="P2028" s="6">
        <f>IF($C2028="","",IF(COUNTIF($C$2:$C2028,$C2028)=1,1,0))</f>
        <v/>
      </c>
    </row>
    <row r="2029">
      <c r="P2029" s="6">
        <f>IF($C2029="","",IF(COUNTIF($C$2:$C2029,$C2029)=1,1,0))</f>
        <v/>
      </c>
    </row>
    <row r="2030">
      <c r="P2030" s="6">
        <f>IF($C2030="","",IF(COUNTIF($C$2:$C2030,$C2030)=1,1,0))</f>
        <v/>
      </c>
    </row>
    <row r="2031">
      <c r="P2031" s="6">
        <f>IF($C2031="","",IF(COUNTIF($C$2:$C2031,$C2031)=1,1,0))</f>
        <v/>
      </c>
    </row>
    <row r="2032">
      <c r="P2032" s="6">
        <f>IF($C2032="","",IF(COUNTIF($C$2:$C2032,$C2032)=1,1,0))</f>
        <v/>
      </c>
    </row>
    <row r="2033">
      <c r="P2033" s="6">
        <f>IF($C2033="","",IF(COUNTIF($C$2:$C2033,$C2033)=1,1,0))</f>
        <v/>
      </c>
    </row>
    <row r="2034">
      <c r="P2034" s="6">
        <f>IF($C2034="","",IF(COUNTIF($C$2:$C2034,$C2034)=1,1,0))</f>
        <v/>
      </c>
    </row>
    <row r="2035">
      <c r="P2035" s="6">
        <f>IF($C2035="","",IF(COUNTIF($C$2:$C2035,$C2035)=1,1,0))</f>
        <v/>
      </c>
    </row>
    <row r="2036">
      <c r="P2036" s="6">
        <f>IF($C2036="","",IF(COUNTIF($C$2:$C2036,$C2036)=1,1,0))</f>
        <v/>
      </c>
    </row>
    <row r="2037">
      <c r="P2037" s="6">
        <f>IF($C2037="","",IF(COUNTIF($C$2:$C2037,$C2037)=1,1,0))</f>
        <v/>
      </c>
    </row>
    <row r="2038">
      <c r="P2038" s="6">
        <f>IF($C2038="","",IF(COUNTIF($C$2:$C2038,$C2038)=1,1,0))</f>
        <v/>
      </c>
    </row>
    <row r="2039">
      <c r="P2039" s="6">
        <f>IF($C2039="","",IF(COUNTIF($C$2:$C2039,$C2039)=1,1,0))</f>
        <v/>
      </c>
    </row>
    <row r="2040">
      <c r="P2040" s="6">
        <f>IF($C2040="","",IF(COUNTIF($C$2:$C2040,$C2040)=1,1,0))</f>
        <v/>
      </c>
    </row>
    <row r="2041">
      <c r="P2041" s="6">
        <f>IF($C2041="","",IF(COUNTIF($C$2:$C2041,$C2041)=1,1,0))</f>
        <v/>
      </c>
    </row>
    <row r="2042">
      <c r="P2042" s="6">
        <f>IF($C2042="","",IF(COUNTIF($C$2:$C2042,$C2042)=1,1,0))</f>
        <v/>
      </c>
    </row>
    <row r="2043">
      <c r="P2043" s="6">
        <f>IF($C2043="","",IF(COUNTIF($C$2:$C2043,$C2043)=1,1,0))</f>
        <v/>
      </c>
    </row>
    <row r="2044">
      <c r="P2044" s="6">
        <f>IF($C2044="","",IF(COUNTIF($C$2:$C2044,$C2044)=1,1,0))</f>
        <v/>
      </c>
    </row>
    <row r="2045">
      <c r="P2045" s="6">
        <f>IF($C2045="","",IF(COUNTIF($C$2:$C2045,$C2045)=1,1,0))</f>
        <v/>
      </c>
    </row>
    <row r="2046">
      <c r="P2046" s="6">
        <f>IF($C2046="","",IF(COUNTIF($C$2:$C2046,$C2046)=1,1,0))</f>
        <v/>
      </c>
    </row>
    <row r="2047">
      <c r="P2047" s="6">
        <f>IF($C2047="","",IF(COUNTIF($C$2:$C2047,$C2047)=1,1,0))</f>
        <v/>
      </c>
    </row>
    <row r="2048">
      <c r="P2048" s="6">
        <f>IF($C2048="","",IF(COUNTIF($C$2:$C2048,$C2048)=1,1,0))</f>
        <v/>
      </c>
    </row>
    <row r="2049">
      <c r="P2049" s="6">
        <f>IF($C2049="","",IF(COUNTIF($C$2:$C2049,$C2049)=1,1,0))</f>
        <v/>
      </c>
    </row>
    <row r="2050">
      <c r="P2050" s="6">
        <f>IF($C2050="","",IF(COUNTIF($C$2:$C2050,$C2050)=1,1,0))</f>
        <v/>
      </c>
    </row>
    <row r="2051">
      <c r="P2051" s="6">
        <f>IF($C2051="","",IF(COUNTIF($C$2:$C2051,$C2051)=1,1,0))</f>
        <v/>
      </c>
    </row>
    <row r="2052">
      <c r="P2052" s="6">
        <f>IF($C2052="","",IF(COUNTIF($C$2:$C2052,$C2052)=1,1,0))</f>
        <v/>
      </c>
    </row>
    <row r="2053">
      <c r="P2053" s="6">
        <f>IF($C2053="","",IF(COUNTIF($C$2:$C2053,$C2053)=1,1,0))</f>
        <v/>
      </c>
    </row>
    <row r="2054">
      <c r="P2054" s="6">
        <f>IF($C2054="","",IF(COUNTIF($C$2:$C2054,$C2054)=1,1,0))</f>
        <v/>
      </c>
    </row>
    <row r="2055">
      <c r="P2055" s="6">
        <f>IF($C2055="","",IF(COUNTIF($C$2:$C2055,$C2055)=1,1,0))</f>
        <v/>
      </c>
    </row>
    <row r="2056">
      <c r="P2056" s="6">
        <f>IF($C2056="","",IF(COUNTIF($C$2:$C2056,$C2056)=1,1,0))</f>
        <v/>
      </c>
    </row>
    <row r="2057">
      <c r="P2057" s="6">
        <f>IF($C2057="","",IF(COUNTIF($C$2:$C2057,$C2057)=1,1,0))</f>
        <v/>
      </c>
    </row>
    <row r="2058">
      <c r="P2058" s="6">
        <f>IF($C2058="","",IF(COUNTIF($C$2:$C2058,$C2058)=1,1,0))</f>
        <v/>
      </c>
    </row>
    <row r="2059">
      <c r="P2059" s="6">
        <f>IF($C2059="","",IF(COUNTIF($C$2:$C2059,$C2059)=1,1,0))</f>
        <v/>
      </c>
    </row>
    <row r="2060">
      <c r="P2060" s="6">
        <f>IF($C2060="","",IF(COUNTIF($C$2:$C2060,$C2060)=1,1,0))</f>
        <v/>
      </c>
    </row>
    <row r="2061">
      <c r="P2061" s="6">
        <f>IF($C2061="","",IF(COUNTIF($C$2:$C2061,$C2061)=1,1,0))</f>
        <v/>
      </c>
    </row>
    <row r="2062">
      <c r="P2062" s="6">
        <f>IF($C2062="","",IF(COUNTIF($C$2:$C2062,$C2062)=1,1,0))</f>
        <v/>
      </c>
    </row>
    <row r="2063">
      <c r="P2063" s="6">
        <f>IF($C2063="","",IF(COUNTIF($C$2:$C2063,$C2063)=1,1,0))</f>
        <v/>
      </c>
    </row>
    <row r="2064">
      <c r="P2064" s="6">
        <f>IF($C2064="","",IF(COUNTIF($C$2:$C2064,$C2064)=1,1,0))</f>
        <v/>
      </c>
    </row>
    <row r="2065">
      <c r="P2065" s="6">
        <f>IF($C2065="","",IF(COUNTIF($C$2:$C2065,$C2065)=1,1,0))</f>
        <v/>
      </c>
    </row>
    <row r="2066">
      <c r="P2066" s="6">
        <f>IF($C2066="","",IF(COUNTIF($C$2:$C2066,$C2066)=1,1,0))</f>
        <v/>
      </c>
    </row>
    <row r="2067">
      <c r="P2067" s="6">
        <f>IF($C2067="","",IF(COUNTIF($C$2:$C2067,$C2067)=1,1,0))</f>
        <v/>
      </c>
    </row>
    <row r="2068">
      <c r="P2068" s="6">
        <f>IF($C2068="","",IF(COUNTIF($C$2:$C2068,$C2068)=1,1,0))</f>
        <v/>
      </c>
    </row>
    <row r="2069">
      <c r="P2069" s="6">
        <f>IF($C2069="","",IF(COUNTIF($C$2:$C2069,$C2069)=1,1,0))</f>
        <v/>
      </c>
    </row>
    <row r="2070">
      <c r="P2070" s="6">
        <f>IF($C2070="","",IF(COUNTIF($C$2:$C2070,$C2070)=1,1,0))</f>
        <v/>
      </c>
    </row>
    <row r="2071">
      <c r="P2071" s="6">
        <f>IF($C2071="","",IF(COUNTIF($C$2:$C2071,$C2071)=1,1,0))</f>
        <v/>
      </c>
    </row>
    <row r="2072">
      <c r="P2072" s="6">
        <f>IF($C2072="","",IF(COUNTIF($C$2:$C2072,$C2072)=1,1,0))</f>
        <v/>
      </c>
    </row>
    <row r="2073">
      <c r="P2073" s="6">
        <f>IF($C2073="","",IF(COUNTIF($C$2:$C2073,$C2073)=1,1,0))</f>
        <v/>
      </c>
    </row>
    <row r="2074">
      <c r="P2074" s="6">
        <f>IF($C2074="","",IF(COUNTIF($C$2:$C2074,$C2074)=1,1,0))</f>
        <v/>
      </c>
    </row>
    <row r="2075">
      <c r="P2075" s="6">
        <f>IF($C2075="","",IF(COUNTIF($C$2:$C2075,$C2075)=1,1,0))</f>
        <v/>
      </c>
    </row>
    <row r="2076">
      <c r="P2076" s="6">
        <f>IF($C2076="","",IF(COUNTIF($C$2:$C2076,$C2076)=1,1,0))</f>
        <v/>
      </c>
    </row>
    <row r="2077">
      <c r="P2077" s="6">
        <f>IF($C2077="","",IF(COUNTIF($C$2:$C2077,$C2077)=1,1,0))</f>
        <v/>
      </c>
    </row>
    <row r="2078">
      <c r="P2078" s="6">
        <f>IF($C2078="","",IF(COUNTIF($C$2:$C2078,$C2078)=1,1,0))</f>
        <v/>
      </c>
    </row>
    <row r="2079">
      <c r="P2079" s="6">
        <f>IF($C2079="","",IF(COUNTIF($C$2:$C2079,$C2079)=1,1,0))</f>
        <v/>
      </c>
    </row>
    <row r="2080">
      <c r="P2080" s="6">
        <f>IF($C2080="","",IF(COUNTIF($C$2:$C2080,$C2080)=1,1,0))</f>
        <v/>
      </c>
    </row>
    <row r="2081">
      <c r="P2081" s="6">
        <f>IF($C2081="","",IF(COUNTIF($C$2:$C2081,$C2081)=1,1,0))</f>
        <v/>
      </c>
    </row>
    <row r="2082">
      <c r="P2082" s="6">
        <f>IF($C2082="","",IF(COUNTIF($C$2:$C2082,$C2082)=1,1,0))</f>
        <v/>
      </c>
    </row>
    <row r="2083">
      <c r="P2083" s="6">
        <f>IF($C2083="","",IF(COUNTIF($C$2:$C2083,$C2083)=1,1,0))</f>
        <v/>
      </c>
    </row>
    <row r="2084">
      <c r="P2084" s="6">
        <f>IF($C2084="","",IF(COUNTIF($C$2:$C2084,$C2084)=1,1,0))</f>
        <v/>
      </c>
    </row>
    <row r="2085">
      <c r="P2085" s="6">
        <f>IF($C2085="","",IF(COUNTIF($C$2:$C2085,$C2085)=1,1,0))</f>
        <v/>
      </c>
    </row>
    <row r="2086">
      <c r="P2086" s="6">
        <f>IF($C2086="","",IF(COUNTIF($C$2:$C2086,$C2086)=1,1,0))</f>
        <v/>
      </c>
    </row>
    <row r="2087">
      <c r="P2087" s="6">
        <f>IF($C2087="","",IF(COUNTIF($C$2:$C2087,$C2087)=1,1,0))</f>
        <v/>
      </c>
    </row>
    <row r="2088">
      <c r="P2088" s="6">
        <f>IF($C2088="","",IF(COUNTIF($C$2:$C2088,$C2088)=1,1,0))</f>
        <v/>
      </c>
    </row>
    <row r="2089">
      <c r="P2089" s="6">
        <f>IF($C2089="","",IF(COUNTIF($C$2:$C2089,$C2089)=1,1,0))</f>
        <v/>
      </c>
    </row>
    <row r="2090">
      <c r="P2090" s="6">
        <f>IF($C2090="","",IF(COUNTIF($C$2:$C2090,$C2090)=1,1,0))</f>
        <v/>
      </c>
    </row>
    <row r="2091">
      <c r="P2091" s="6">
        <f>IF($C2091="","",IF(COUNTIF($C$2:$C2091,$C2091)=1,1,0))</f>
        <v/>
      </c>
    </row>
    <row r="2092">
      <c r="P2092" s="6">
        <f>IF($C2092="","",IF(COUNTIF($C$2:$C2092,$C2092)=1,1,0))</f>
        <v/>
      </c>
    </row>
    <row r="2093">
      <c r="P2093" s="6">
        <f>IF($C2093="","",IF(COUNTIF($C$2:$C2093,$C2093)=1,1,0))</f>
        <v/>
      </c>
    </row>
    <row r="2094">
      <c r="P2094" s="6">
        <f>IF($C2094="","",IF(COUNTIF($C$2:$C2094,$C2094)=1,1,0))</f>
        <v/>
      </c>
    </row>
    <row r="2095">
      <c r="P2095" s="6">
        <f>IF($C2095="","",IF(COUNTIF($C$2:$C2095,$C2095)=1,1,0))</f>
        <v/>
      </c>
    </row>
    <row r="2096">
      <c r="P2096" s="6">
        <f>IF($C2096="","",IF(COUNTIF($C$2:$C2096,$C2096)=1,1,0))</f>
        <v/>
      </c>
    </row>
    <row r="2097">
      <c r="P2097" s="6">
        <f>IF($C2097="","",IF(COUNTIF($C$2:$C2097,$C2097)=1,1,0))</f>
        <v/>
      </c>
    </row>
    <row r="2098">
      <c r="P2098" s="6">
        <f>IF($C2098="","",IF(COUNTIF($C$2:$C2098,$C2098)=1,1,0))</f>
        <v/>
      </c>
    </row>
    <row r="2099">
      <c r="P2099" s="6">
        <f>IF($C2099="","",IF(COUNTIF($C$2:$C2099,$C2099)=1,1,0))</f>
        <v/>
      </c>
    </row>
    <row r="2100">
      <c r="P2100" s="6">
        <f>IF($C2100="","",IF(COUNTIF($C$2:$C2100,$C2100)=1,1,0))</f>
        <v/>
      </c>
    </row>
    <row r="2101">
      <c r="P2101" s="6">
        <f>IF($C2101="","",IF(COUNTIF($C$2:$C2101,$C2101)=1,1,0))</f>
        <v/>
      </c>
    </row>
    <row r="2102">
      <c r="P2102" s="6">
        <f>IF($C2102="","",IF(COUNTIF($C$2:$C2102,$C2102)=1,1,0))</f>
        <v/>
      </c>
    </row>
    <row r="2103">
      <c r="P2103" s="6">
        <f>IF($C2103="","",IF(COUNTIF($C$2:$C2103,$C2103)=1,1,0))</f>
        <v/>
      </c>
    </row>
    <row r="2104">
      <c r="P2104" s="6">
        <f>IF($C2104="","",IF(COUNTIF($C$2:$C2104,$C2104)=1,1,0))</f>
        <v/>
      </c>
    </row>
    <row r="2105">
      <c r="P2105" s="6">
        <f>IF($C2105="","",IF(COUNTIF($C$2:$C2105,$C2105)=1,1,0))</f>
        <v/>
      </c>
    </row>
    <row r="2106">
      <c r="P2106" s="6">
        <f>IF($C2106="","",IF(COUNTIF($C$2:$C2106,$C2106)=1,1,0))</f>
        <v/>
      </c>
    </row>
    <row r="2107">
      <c r="P2107" s="6">
        <f>IF($C2107="","",IF(COUNTIF($C$2:$C2107,$C2107)=1,1,0))</f>
        <v/>
      </c>
    </row>
    <row r="2108">
      <c r="P2108" s="6">
        <f>IF($C2108="","",IF(COUNTIF($C$2:$C2108,$C2108)=1,1,0))</f>
        <v/>
      </c>
    </row>
    <row r="2109">
      <c r="P2109" s="6">
        <f>IF($C2109="","",IF(COUNTIF($C$2:$C2109,$C2109)=1,1,0))</f>
        <v/>
      </c>
    </row>
    <row r="2110">
      <c r="P2110" s="6">
        <f>IF($C2110="","",IF(COUNTIF($C$2:$C2110,$C2110)=1,1,0))</f>
        <v/>
      </c>
    </row>
    <row r="2111">
      <c r="P2111" s="6">
        <f>IF($C2111="","",IF(COUNTIF($C$2:$C2111,$C2111)=1,1,0))</f>
        <v/>
      </c>
    </row>
    <row r="2112">
      <c r="P2112" s="6">
        <f>IF($C2112="","",IF(COUNTIF($C$2:$C2112,$C2112)=1,1,0))</f>
        <v/>
      </c>
    </row>
    <row r="2113">
      <c r="P2113" s="6">
        <f>IF($C2113="","",IF(COUNTIF($C$2:$C2113,$C2113)=1,1,0))</f>
        <v/>
      </c>
    </row>
    <row r="2114">
      <c r="P2114" s="6">
        <f>IF($C2114="","",IF(COUNTIF($C$2:$C2114,$C2114)=1,1,0))</f>
        <v/>
      </c>
    </row>
    <row r="2115">
      <c r="P2115" s="6">
        <f>IF($C2115="","",IF(COUNTIF($C$2:$C2115,$C2115)=1,1,0))</f>
        <v/>
      </c>
    </row>
    <row r="2116">
      <c r="P2116" s="6">
        <f>IF($C2116="","",IF(COUNTIF($C$2:$C2116,$C2116)=1,1,0))</f>
        <v/>
      </c>
    </row>
    <row r="2117">
      <c r="P2117" s="6">
        <f>IF($C2117="","",IF(COUNTIF($C$2:$C2117,$C2117)=1,1,0))</f>
        <v/>
      </c>
    </row>
    <row r="2118">
      <c r="P2118" s="6">
        <f>IF($C2118="","",IF(COUNTIF($C$2:$C2118,$C2118)=1,1,0))</f>
        <v/>
      </c>
    </row>
    <row r="2119">
      <c r="P2119" s="6">
        <f>IF($C2119="","",IF(COUNTIF($C$2:$C2119,$C2119)=1,1,0))</f>
        <v/>
      </c>
    </row>
    <row r="2120">
      <c r="P2120" s="6">
        <f>IF($C2120="","",IF(COUNTIF($C$2:$C2120,$C2120)=1,1,0))</f>
        <v/>
      </c>
    </row>
    <row r="2121">
      <c r="P2121" s="6">
        <f>IF($C2121="","",IF(COUNTIF($C$2:$C2121,$C2121)=1,1,0))</f>
        <v/>
      </c>
    </row>
    <row r="2122">
      <c r="P2122" s="6">
        <f>IF($C2122="","",IF(COUNTIF($C$2:$C2122,$C2122)=1,1,0))</f>
        <v/>
      </c>
    </row>
    <row r="2123">
      <c r="P2123" s="6">
        <f>IF($C2123="","",IF(COUNTIF($C$2:$C2123,$C2123)=1,1,0))</f>
        <v/>
      </c>
    </row>
    <row r="2124">
      <c r="P2124" s="6">
        <f>IF($C2124="","",IF(COUNTIF($C$2:$C2124,$C2124)=1,1,0))</f>
        <v/>
      </c>
    </row>
    <row r="2125">
      <c r="P2125" s="6">
        <f>IF($C2125="","",IF(COUNTIF($C$2:$C2125,$C2125)=1,1,0))</f>
        <v/>
      </c>
    </row>
    <row r="2126">
      <c r="P2126" s="6">
        <f>IF($C2126="","",IF(COUNTIF($C$2:$C2126,$C2126)=1,1,0))</f>
        <v/>
      </c>
    </row>
    <row r="2127">
      <c r="P2127" s="6">
        <f>IF($C2127="","",IF(COUNTIF($C$2:$C2127,$C2127)=1,1,0))</f>
        <v/>
      </c>
    </row>
    <row r="2128">
      <c r="P2128" s="6">
        <f>IF($C2128="","",IF(COUNTIF($C$2:$C2128,$C2128)=1,1,0))</f>
        <v/>
      </c>
    </row>
    <row r="2129">
      <c r="P2129" s="6">
        <f>IF($C2129="","",IF(COUNTIF($C$2:$C2129,$C2129)=1,1,0))</f>
        <v/>
      </c>
    </row>
    <row r="2130">
      <c r="P2130" s="6">
        <f>IF($C2130="","",IF(COUNTIF($C$2:$C2130,$C2130)=1,1,0))</f>
        <v/>
      </c>
    </row>
    <row r="2131">
      <c r="P2131" s="6">
        <f>IF($C2131="","",IF(COUNTIF($C$2:$C2131,$C2131)=1,1,0))</f>
        <v/>
      </c>
    </row>
    <row r="2132">
      <c r="P2132" s="6">
        <f>IF($C2132="","",IF(COUNTIF($C$2:$C2132,$C2132)=1,1,0))</f>
        <v/>
      </c>
    </row>
    <row r="2133">
      <c r="P2133" s="6">
        <f>IF($C2133="","",IF(COUNTIF($C$2:$C2133,$C2133)=1,1,0))</f>
        <v/>
      </c>
    </row>
    <row r="2134">
      <c r="P2134" s="6">
        <f>IF($C2134="","",IF(COUNTIF($C$2:$C2134,$C2134)=1,1,0))</f>
        <v/>
      </c>
    </row>
    <row r="2135">
      <c r="P2135" s="6">
        <f>IF($C2135="","",IF(COUNTIF($C$2:$C2135,$C2135)=1,1,0))</f>
        <v/>
      </c>
    </row>
    <row r="2136">
      <c r="P2136" s="6">
        <f>IF($C2136="","",IF(COUNTIF($C$2:$C2136,$C2136)=1,1,0))</f>
        <v/>
      </c>
    </row>
    <row r="2137">
      <c r="P2137" s="6">
        <f>IF($C2137="","",IF(COUNTIF($C$2:$C2137,$C2137)=1,1,0))</f>
        <v/>
      </c>
    </row>
    <row r="2138">
      <c r="P2138" s="6">
        <f>IF($C2138="","",IF(COUNTIF($C$2:$C2138,$C2138)=1,1,0))</f>
        <v/>
      </c>
    </row>
    <row r="2139">
      <c r="P2139" s="6">
        <f>IF($C2139="","",IF(COUNTIF($C$2:$C2139,$C2139)=1,1,0))</f>
        <v/>
      </c>
    </row>
    <row r="2140">
      <c r="P2140" s="6">
        <f>IF($C2140="","",IF(COUNTIF($C$2:$C2140,$C2140)=1,1,0))</f>
        <v/>
      </c>
    </row>
    <row r="2141">
      <c r="P2141" s="6">
        <f>IF($C2141="","",IF(COUNTIF($C$2:$C2141,$C2141)=1,1,0))</f>
        <v/>
      </c>
    </row>
    <row r="2142">
      <c r="P2142" s="6">
        <f>IF($C2142="","",IF(COUNTIF($C$2:$C2142,$C2142)=1,1,0))</f>
        <v/>
      </c>
    </row>
    <row r="2143">
      <c r="P2143" s="6">
        <f>IF($C2143="","",IF(COUNTIF($C$2:$C2143,$C2143)=1,1,0))</f>
        <v/>
      </c>
    </row>
    <row r="2144">
      <c r="P2144" s="6">
        <f>IF($C2144="","",IF(COUNTIF($C$2:$C2144,$C2144)=1,1,0))</f>
        <v/>
      </c>
    </row>
    <row r="2145">
      <c r="P2145" s="6">
        <f>IF($C2145="","",IF(COUNTIF($C$2:$C2145,$C2145)=1,1,0))</f>
        <v/>
      </c>
    </row>
    <row r="2146">
      <c r="P2146" s="6">
        <f>IF($C2146="","",IF(COUNTIF($C$2:$C2146,$C2146)=1,1,0))</f>
        <v/>
      </c>
    </row>
    <row r="2147">
      <c r="P2147" s="6">
        <f>IF($C2147="","",IF(COUNTIF($C$2:$C2147,$C2147)=1,1,0))</f>
        <v/>
      </c>
    </row>
    <row r="2148">
      <c r="P2148" s="6">
        <f>IF($C2148="","",IF(COUNTIF($C$2:$C2148,$C2148)=1,1,0))</f>
        <v/>
      </c>
    </row>
    <row r="2149">
      <c r="P2149" s="6">
        <f>IF($C2149="","",IF(COUNTIF($C$2:$C2149,$C2149)=1,1,0))</f>
        <v/>
      </c>
    </row>
    <row r="2150">
      <c r="P2150" s="6">
        <f>IF($C2150="","",IF(COUNTIF($C$2:$C2150,$C2150)=1,1,0))</f>
        <v/>
      </c>
    </row>
    <row r="2151">
      <c r="P2151" s="6">
        <f>IF($C2151="","",IF(COUNTIF($C$2:$C2151,$C2151)=1,1,0))</f>
        <v/>
      </c>
    </row>
    <row r="2152">
      <c r="P2152" s="6">
        <f>IF($C2152="","",IF(COUNTIF($C$2:$C2152,$C2152)=1,1,0))</f>
        <v/>
      </c>
    </row>
    <row r="2153">
      <c r="P2153" s="6">
        <f>IF($C2153="","",IF(COUNTIF($C$2:$C2153,$C2153)=1,1,0))</f>
        <v/>
      </c>
    </row>
    <row r="2154">
      <c r="P2154" s="6">
        <f>IF($C2154="","",IF(COUNTIF($C$2:$C2154,$C2154)=1,1,0))</f>
        <v/>
      </c>
    </row>
    <row r="2155">
      <c r="P2155" s="6">
        <f>IF($C2155="","",IF(COUNTIF($C$2:$C2155,$C2155)=1,1,0))</f>
        <v/>
      </c>
    </row>
    <row r="2156">
      <c r="P2156" s="6">
        <f>IF($C2156="","",IF(COUNTIF($C$2:$C2156,$C2156)=1,1,0))</f>
        <v/>
      </c>
    </row>
    <row r="2157">
      <c r="P2157" s="6">
        <f>IF($C2157="","",IF(COUNTIF($C$2:$C2157,$C2157)=1,1,0))</f>
        <v/>
      </c>
    </row>
    <row r="2158">
      <c r="P2158" s="6">
        <f>IF($C2158="","",IF(COUNTIF($C$2:$C2158,$C2158)=1,1,0))</f>
        <v/>
      </c>
    </row>
    <row r="2159">
      <c r="P2159" s="6">
        <f>IF($C2159="","",IF(COUNTIF($C$2:$C2159,$C2159)=1,1,0))</f>
        <v/>
      </c>
    </row>
    <row r="2160">
      <c r="P2160" s="6">
        <f>IF($C2160="","",IF(COUNTIF($C$2:$C2160,$C2160)=1,1,0))</f>
        <v/>
      </c>
    </row>
    <row r="2161">
      <c r="P2161" s="6">
        <f>IF($C2161="","",IF(COUNTIF($C$2:$C2161,$C2161)=1,1,0))</f>
        <v/>
      </c>
    </row>
    <row r="2162">
      <c r="P2162" s="6">
        <f>IF($C2162="","",IF(COUNTIF($C$2:$C2162,$C2162)=1,1,0))</f>
        <v/>
      </c>
    </row>
    <row r="2163">
      <c r="P2163" s="6">
        <f>IF($C2163="","",IF(COUNTIF($C$2:$C2163,$C2163)=1,1,0))</f>
        <v/>
      </c>
    </row>
    <row r="2164">
      <c r="P2164" s="6">
        <f>IF($C2164="","",IF(COUNTIF($C$2:$C2164,$C2164)=1,1,0))</f>
        <v/>
      </c>
    </row>
    <row r="2165">
      <c r="P2165" s="6">
        <f>IF($C2165="","",IF(COUNTIF($C$2:$C2165,$C2165)=1,1,0))</f>
        <v/>
      </c>
    </row>
    <row r="2166">
      <c r="P2166" s="6">
        <f>IF($C2166="","",IF(COUNTIF($C$2:$C2166,$C2166)=1,1,0))</f>
        <v/>
      </c>
    </row>
    <row r="2167">
      <c r="P2167" s="6">
        <f>IF($C2167="","",IF(COUNTIF($C$2:$C2167,$C2167)=1,1,0))</f>
        <v/>
      </c>
    </row>
    <row r="2168">
      <c r="P2168" s="6">
        <f>IF($C2168="","",IF(COUNTIF($C$2:$C2168,$C2168)=1,1,0))</f>
        <v/>
      </c>
    </row>
    <row r="2169">
      <c r="P2169" s="6">
        <f>IF($C2169="","",IF(COUNTIF($C$2:$C2169,$C2169)=1,1,0))</f>
        <v/>
      </c>
    </row>
    <row r="2170">
      <c r="P2170" s="6">
        <f>IF($C2170="","",IF(COUNTIF($C$2:$C2170,$C2170)=1,1,0))</f>
        <v/>
      </c>
    </row>
    <row r="2171">
      <c r="P2171" s="6">
        <f>IF($C2171="","",IF(COUNTIF($C$2:$C2171,$C2171)=1,1,0))</f>
        <v/>
      </c>
    </row>
    <row r="2172">
      <c r="P2172" s="6">
        <f>IF($C2172="","",IF(COUNTIF($C$2:$C2172,$C2172)=1,1,0))</f>
        <v/>
      </c>
    </row>
    <row r="2173">
      <c r="P2173" s="6">
        <f>IF($C2173="","",IF(COUNTIF($C$2:$C2173,$C2173)=1,1,0))</f>
        <v/>
      </c>
    </row>
    <row r="2174">
      <c r="P2174" s="6">
        <f>IF($C2174="","",IF(COUNTIF($C$2:$C2174,$C2174)=1,1,0))</f>
        <v/>
      </c>
    </row>
    <row r="2175">
      <c r="P2175" s="6">
        <f>IF($C2175="","",IF(COUNTIF($C$2:$C2175,$C2175)=1,1,0))</f>
        <v/>
      </c>
    </row>
    <row r="2176">
      <c r="P2176" s="6">
        <f>IF($C2176="","",IF(COUNTIF($C$2:$C2176,$C2176)=1,1,0))</f>
        <v/>
      </c>
    </row>
    <row r="2177">
      <c r="P2177" s="6">
        <f>IF($C2177="","",IF(COUNTIF($C$2:$C2177,$C2177)=1,1,0))</f>
        <v/>
      </c>
    </row>
    <row r="2178">
      <c r="P2178" s="6">
        <f>IF($C2178="","",IF(COUNTIF($C$2:$C2178,$C2178)=1,1,0))</f>
        <v/>
      </c>
    </row>
    <row r="2179">
      <c r="P2179" s="6">
        <f>IF($C2179="","",IF(COUNTIF($C$2:$C2179,$C2179)=1,1,0))</f>
        <v/>
      </c>
    </row>
    <row r="2180">
      <c r="P2180" s="6">
        <f>IF($C2180="","",IF(COUNTIF($C$2:$C2180,$C2180)=1,1,0))</f>
        <v/>
      </c>
    </row>
    <row r="2181">
      <c r="P2181" s="6">
        <f>IF($C2181="","",IF(COUNTIF($C$2:$C2181,$C2181)=1,1,0))</f>
        <v/>
      </c>
    </row>
    <row r="2182">
      <c r="P2182" s="6">
        <f>IF($C2182="","",IF(COUNTIF($C$2:$C2182,$C2182)=1,1,0))</f>
        <v/>
      </c>
    </row>
    <row r="2183">
      <c r="P2183" s="6">
        <f>IF($C2183="","",IF(COUNTIF($C$2:$C2183,$C2183)=1,1,0))</f>
        <v/>
      </c>
    </row>
    <row r="2184">
      <c r="P2184" s="6">
        <f>IF($C2184="","",IF(COUNTIF($C$2:$C2184,$C2184)=1,1,0))</f>
        <v/>
      </c>
    </row>
    <row r="2185">
      <c r="P2185" s="6">
        <f>IF($C2185="","",IF(COUNTIF($C$2:$C2185,$C2185)=1,1,0))</f>
        <v/>
      </c>
    </row>
    <row r="2186">
      <c r="P2186" s="6">
        <f>IF($C2186="","",IF(COUNTIF($C$2:$C2186,$C2186)=1,1,0))</f>
        <v/>
      </c>
    </row>
    <row r="2187">
      <c r="P2187" s="6">
        <f>IF($C2187="","",IF(COUNTIF($C$2:$C2187,$C2187)=1,1,0))</f>
        <v/>
      </c>
    </row>
    <row r="2188">
      <c r="P2188" s="6">
        <f>IF($C2188="","",IF(COUNTIF($C$2:$C2188,$C2188)=1,1,0))</f>
        <v/>
      </c>
    </row>
    <row r="2189">
      <c r="P2189" s="6">
        <f>IF($C2189="","",IF(COUNTIF($C$2:$C2189,$C2189)=1,1,0))</f>
        <v/>
      </c>
    </row>
    <row r="2190">
      <c r="P2190" s="6">
        <f>IF($C2190="","",IF(COUNTIF($C$2:$C2190,$C2190)=1,1,0))</f>
        <v/>
      </c>
    </row>
    <row r="2191">
      <c r="P2191" s="6">
        <f>IF($C2191="","",IF(COUNTIF($C$2:$C2191,$C2191)=1,1,0))</f>
        <v/>
      </c>
    </row>
    <row r="2192">
      <c r="P2192" s="6">
        <f>IF($C2192="","",IF(COUNTIF($C$2:$C2192,$C2192)=1,1,0))</f>
        <v/>
      </c>
    </row>
    <row r="2193">
      <c r="P2193" s="6">
        <f>IF($C2193="","",IF(COUNTIF($C$2:$C2193,$C2193)=1,1,0))</f>
        <v/>
      </c>
    </row>
    <row r="2194">
      <c r="P2194" s="6">
        <f>IF($C2194="","",IF(COUNTIF($C$2:$C2194,$C2194)=1,1,0))</f>
        <v/>
      </c>
    </row>
    <row r="2195">
      <c r="P2195" s="6">
        <f>IF($C2195="","",IF(COUNTIF($C$2:$C2195,$C2195)=1,1,0))</f>
        <v/>
      </c>
    </row>
    <row r="2196">
      <c r="P2196" s="6">
        <f>IF($C2196="","",IF(COUNTIF($C$2:$C2196,$C2196)=1,1,0))</f>
        <v/>
      </c>
    </row>
    <row r="2197">
      <c r="P2197" s="6">
        <f>IF($C2197="","",IF(COUNTIF($C$2:$C2197,$C2197)=1,1,0))</f>
        <v/>
      </c>
    </row>
    <row r="2198">
      <c r="P2198" s="6">
        <f>IF($C2198="","",IF(COUNTIF($C$2:$C2198,$C2198)=1,1,0))</f>
        <v/>
      </c>
    </row>
    <row r="2199">
      <c r="P2199" s="6">
        <f>IF($C2199="","",IF(COUNTIF($C$2:$C2199,$C2199)=1,1,0))</f>
        <v/>
      </c>
    </row>
    <row r="2200">
      <c r="P2200" s="6">
        <f>IF($C2200="","",IF(COUNTIF($C$2:$C2200,$C2200)=1,1,0))</f>
        <v/>
      </c>
    </row>
    <row r="2201">
      <c r="P2201" s="6">
        <f>IF($C2201="","",IF(COUNTIF($C$2:$C2201,$C2201)=1,1,0))</f>
        <v/>
      </c>
    </row>
    <row r="2202">
      <c r="P2202" s="6">
        <f>IF($C2202="","",IF(COUNTIF($C$2:$C2202,$C2202)=1,1,0))</f>
        <v/>
      </c>
    </row>
    <row r="2203">
      <c r="P2203" s="6">
        <f>IF($C2203="","",IF(COUNTIF($C$2:$C2203,$C2203)=1,1,0))</f>
        <v/>
      </c>
    </row>
    <row r="2204">
      <c r="P2204" s="6">
        <f>IF($C2204="","",IF(COUNTIF($C$2:$C2204,$C2204)=1,1,0))</f>
        <v/>
      </c>
    </row>
    <row r="2205">
      <c r="P2205" s="6">
        <f>IF($C2205="","",IF(COUNTIF($C$2:$C2205,$C2205)=1,1,0))</f>
        <v/>
      </c>
    </row>
    <row r="2206">
      <c r="P2206" s="6">
        <f>IF($C2206="","",IF(COUNTIF($C$2:$C2206,$C2206)=1,1,0))</f>
        <v/>
      </c>
    </row>
    <row r="2207">
      <c r="P2207" s="6">
        <f>IF($C2207="","",IF(COUNTIF($C$2:$C2207,$C2207)=1,1,0))</f>
        <v/>
      </c>
    </row>
    <row r="2208">
      <c r="P2208" s="6">
        <f>IF($C2208="","",IF(COUNTIF($C$2:$C2208,$C2208)=1,1,0))</f>
        <v/>
      </c>
    </row>
    <row r="2209">
      <c r="P2209" s="6">
        <f>IF($C2209="","",IF(COUNTIF($C$2:$C2209,$C2209)=1,1,0))</f>
        <v/>
      </c>
    </row>
    <row r="2210">
      <c r="P2210" s="6">
        <f>IF($C2210="","",IF(COUNTIF($C$2:$C2210,$C2210)=1,1,0))</f>
        <v/>
      </c>
    </row>
    <row r="2211">
      <c r="P2211" s="6">
        <f>IF($C2211="","",IF(COUNTIF($C$2:$C2211,$C2211)=1,1,0))</f>
        <v/>
      </c>
    </row>
    <row r="2212">
      <c r="P2212" s="6">
        <f>IF($C2212="","",IF(COUNTIF($C$2:$C2212,$C2212)=1,1,0))</f>
        <v/>
      </c>
    </row>
    <row r="2213">
      <c r="P2213" s="6">
        <f>IF($C2213="","",IF(COUNTIF($C$2:$C2213,$C2213)=1,1,0))</f>
        <v/>
      </c>
    </row>
    <row r="2214">
      <c r="P2214" s="6">
        <f>IF($C2214="","",IF(COUNTIF($C$2:$C2214,$C2214)=1,1,0))</f>
        <v/>
      </c>
    </row>
    <row r="2215">
      <c r="P2215" s="6">
        <f>IF($C2215="","",IF(COUNTIF($C$2:$C2215,$C2215)=1,1,0))</f>
        <v/>
      </c>
    </row>
    <row r="2216">
      <c r="P2216" s="6">
        <f>IF($C2216="","",IF(COUNTIF($C$2:$C2216,$C2216)=1,1,0))</f>
        <v/>
      </c>
    </row>
    <row r="2217">
      <c r="P2217" s="6">
        <f>IF($C2217="","",IF(COUNTIF($C$2:$C2217,$C2217)=1,1,0))</f>
        <v/>
      </c>
    </row>
    <row r="2218">
      <c r="P2218" s="6">
        <f>IF($C2218="","",IF(COUNTIF($C$2:$C2218,$C2218)=1,1,0))</f>
        <v/>
      </c>
    </row>
    <row r="2219">
      <c r="P2219" s="6">
        <f>IF($C2219="","",IF(COUNTIF($C$2:$C2219,$C2219)=1,1,0))</f>
        <v/>
      </c>
    </row>
    <row r="2220">
      <c r="P2220" s="6">
        <f>IF($C2220="","",IF(COUNTIF($C$2:$C2220,$C2220)=1,1,0))</f>
        <v/>
      </c>
    </row>
    <row r="2221">
      <c r="P2221" s="6">
        <f>IF($C2221="","",IF(COUNTIF($C$2:$C2221,$C2221)=1,1,0))</f>
        <v/>
      </c>
    </row>
    <row r="2222">
      <c r="P2222" s="6">
        <f>IF($C2222="","",IF(COUNTIF($C$2:$C2222,$C2222)=1,1,0))</f>
        <v/>
      </c>
    </row>
    <row r="2223">
      <c r="P2223" s="6">
        <f>IF($C2223="","",IF(COUNTIF($C$2:$C2223,$C2223)=1,1,0))</f>
        <v/>
      </c>
    </row>
    <row r="2224">
      <c r="P2224" s="6">
        <f>IF($C2224="","",IF(COUNTIF($C$2:$C2224,$C2224)=1,1,0))</f>
        <v/>
      </c>
    </row>
    <row r="2225">
      <c r="P2225" s="6">
        <f>IF($C2225="","",IF(COUNTIF($C$2:$C2225,$C2225)=1,1,0))</f>
        <v/>
      </c>
    </row>
    <row r="2226">
      <c r="P2226" s="6">
        <f>IF($C2226="","",IF(COUNTIF($C$2:$C2226,$C2226)=1,1,0))</f>
        <v/>
      </c>
    </row>
    <row r="2227">
      <c r="P2227" s="6">
        <f>IF($C2227="","",IF(COUNTIF($C$2:$C2227,$C2227)=1,1,0))</f>
        <v/>
      </c>
    </row>
    <row r="2228">
      <c r="P2228" s="6">
        <f>IF($C2228="","",IF(COUNTIF($C$2:$C2228,$C2228)=1,1,0))</f>
        <v/>
      </c>
    </row>
    <row r="2229">
      <c r="P2229" s="6">
        <f>IF($C2229="","",IF(COUNTIF($C$2:$C2229,$C2229)=1,1,0))</f>
        <v/>
      </c>
    </row>
    <row r="2230">
      <c r="P2230" s="6">
        <f>IF($C2230="","",IF(COUNTIF($C$2:$C2230,$C2230)=1,1,0))</f>
        <v/>
      </c>
    </row>
    <row r="2231">
      <c r="P2231" s="6">
        <f>IF($C2231="","",IF(COUNTIF($C$2:$C2231,$C2231)=1,1,0))</f>
        <v/>
      </c>
    </row>
    <row r="2232">
      <c r="P2232" s="6">
        <f>IF($C2232="","",IF(COUNTIF($C$2:$C2232,$C2232)=1,1,0))</f>
        <v/>
      </c>
    </row>
    <row r="2233">
      <c r="P2233" s="6">
        <f>IF($C2233="","",IF(COUNTIF($C$2:$C2233,$C2233)=1,1,0))</f>
        <v/>
      </c>
    </row>
    <row r="2234">
      <c r="P2234" s="6">
        <f>IF($C2234="","",IF(COUNTIF($C$2:$C2234,$C2234)=1,1,0))</f>
        <v/>
      </c>
    </row>
    <row r="2235">
      <c r="P2235" s="6">
        <f>IF($C2235="","",IF(COUNTIF($C$2:$C2235,$C2235)=1,1,0))</f>
        <v/>
      </c>
    </row>
    <row r="2236">
      <c r="P2236" s="6">
        <f>IF($C2236="","",IF(COUNTIF($C$2:$C2236,$C2236)=1,1,0))</f>
        <v/>
      </c>
    </row>
    <row r="2237">
      <c r="P2237" s="6">
        <f>IF($C2237="","",IF(COUNTIF($C$2:$C2237,$C2237)=1,1,0))</f>
        <v/>
      </c>
    </row>
    <row r="2238">
      <c r="P2238" s="6">
        <f>IF($C2238="","",IF(COUNTIF($C$2:$C2238,$C2238)=1,1,0))</f>
        <v/>
      </c>
    </row>
    <row r="2239">
      <c r="P2239" s="6">
        <f>IF($C2239="","",IF(COUNTIF($C$2:$C2239,$C2239)=1,1,0))</f>
        <v/>
      </c>
    </row>
    <row r="2240">
      <c r="P2240" s="6">
        <f>IF($C2240="","",IF(COUNTIF($C$2:$C2240,$C2240)=1,1,0))</f>
        <v/>
      </c>
    </row>
    <row r="2241">
      <c r="P2241" s="6">
        <f>IF($C2241="","",IF(COUNTIF($C$2:$C2241,$C2241)=1,1,0))</f>
        <v/>
      </c>
    </row>
    <row r="2242">
      <c r="P2242" s="6">
        <f>IF($C2242="","",IF(COUNTIF($C$2:$C2242,$C2242)=1,1,0))</f>
        <v/>
      </c>
    </row>
    <row r="2243">
      <c r="P2243" s="6">
        <f>IF($C2243="","",IF(COUNTIF($C$2:$C2243,$C2243)=1,1,0))</f>
        <v/>
      </c>
    </row>
    <row r="2244">
      <c r="P2244" s="6">
        <f>IF($C2244="","",IF(COUNTIF($C$2:$C2244,$C2244)=1,1,0))</f>
        <v/>
      </c>
    </row>
    <row r="2245">
      <c r="P2245" s="6">
        <f>IF($C2245="","",IF(COUNTIF($C$2:$C2245,$C2245)=1,1,0))</f>
        <v/>
      </c>
    </row>
    <row r="2246">
      <c r="P2246" s="6">
        <f>IF($C2246="","",IF(COUNTIF($C$2:$C2246,$C2246)=1,1,0))</f>
        <v/>
      </c>
    </row>
    <row r="2247">
      <c r="P2247" s="6">
        <f>IF($C2247="","",IF(COUNTIF($C$2:$C2247,$C2247)=1,1,0))</f>
        <v/>
      </c>
    </row>
    <row r="2248">
      <c r="P2248" s="6">
        <f>IF($C2248="","",IF(COUNTIF($C$2:$C2248,$C2248)=1,1,0))</f>
        <v/>
      </c>
    </row>
    <row r="2249">
      <c r="P2249" s="6">
        <f>IF($C2249="","",IF(COUNTIF($C$2:$C2249,$C2249)=1,1,0))</f>
        <v/>
      </c>
    </row>
    <row r="2250">
      <c r="P2250" s="6">
        <f>IF($C2250="","",IF(COUNTIF($C$2:$C2250,$C2250)=1,1,0))</f>
        <v/>
      </c>
    </row>
    <row r="2251">
      <c r="P2251" s="6">
        <f>IF($C2251="","",IF(COUNTIF($C$2:$C2251,$C2251)=1,1,0))</f>
        <v/>
      </c>
    </row>
    <row r="2252">
      <c r="P2252" s="6">
        <f>IF($C2252="","",IF(COUNTIF($C$2:$C2252,$C2252)=1,1,0))</f>
        <v/>
      </c>
    </row>
    <row r="2253">
      <c r="P2253" s="6">
        <f>IF($C2253="","",IF(COUNTIF($C$2:$C2253,$C2253)=1,1,0))</f>
        <v/>
      </c>
    </row>
    <row r="2254">
      <c r="P2254" s="6">
        <f>IF($C2254="","",IF(COUNTIF($C$2:$C2254,$C2254)=1,1,0))</f>
        <v/>
      </c>
    </row>
    <row r="2255">
      <c r="P2255" s="6">
        <f>IF($C2255="","",IF(COUNTIF($C$2:$C2255,$C2255)=1,1,0))</f>
        <v/>
      </c>
    </row>
    <row r="2256">
      <c r="P2256" s="6">
        <f>IF($C2256="","",IF(COUNTIF($C$2:$C2256,$C2256)=1,1,0))</f>
        <v/>
      </c>
    </row>
    <row r="2257">
      <c r="P2257" s="6">
        <f>IF($C2257="","",IF(COUNTIF($C$2:$C2257,$C2257)=1,1,0))</f>
        <v/>
      </c>
    </row>
    <row r="2258">
      <c r="P2258" s="6">
        <f>IF($C2258="","",IF(COUNTIF($C$2:$C2258,$C2258)=1,1,0))</f>
        <v/>
      </c>
    </row>
    <row r="2259">
      <c r="P2259" s="6">
        <f>IF($C2259="","",IF(COUNTIF($C$2:$C2259,$C2259)=1,1,0))</f>
        <v/>
      </c>
    </row>
    <row r="2260">
      <c r="P2260" s="6">
        <f>IF($C2260="","",IF(COUNTIF($C$2:$C2260,$C2260)=1,1,0))</f>
        <v/>
      </c>
    </row>
    <row r="2261">
      <c r="P2261" s="6">
        <f>IF($C2261="","",IF(COUNTIF($C$2:$C2261,$C2261)=1,1,0))</f>
        <v/>
      </c>
    </row>
    <row r="2262">
      <c r="P2262" s="6">
        <f>IF($C2262="","",IF(COUNTIF($C$2:$C2262,$C2262)=1,1,0))</f>
        <v/>
      </c>
    </row>
    <row r="2263">
      <c r="P2263" s="6">
        <f>IF($C2263="","",IF(COUNTIF($C$2:$C2263,$C2263)=1,1,0))</f>
        <v/>
      </c>
    </row>
    <row r="2264">
      <c r="P2264" s="6">
        <f>IF($C2264="","",IF(COUNTIF($C$2:$C2264,$C2264)=1,1,0))</f>
        <v/>
      </c>
    </row>
    <row r="2265">
      <c r="P2265" s="6">
        <f>IF($C2265="","",IF(COUNTIF($C$2:$C2265,$C2265)=1,1,0))</f>
        <v/>
      </c>
    </row>
    <row r="2266">
      <c r="P2266" s="6">
        <f>IF($C2266="","",IF(COUNTIF($C$2:$C2266,$C2266)=1,1,0))</f>
        <v/>
      </c>
    </row>
    <row r="2267">
      <c r="P2267" s="6">
        <f>IF($C2267="","",IF(COUNTIF($C$2:$C2267,$C2267)=1,1,0))</f>
        <v/>
      </c>
    </row>
    <row r="2268">
      <c r="P2268" s="6">
        <f>IF($C2268="","",IF(COUNTIF($C$2:$C2268,$C2268)=1,1,0))</f>
        <v/>
      </c>
    </row>
    <row r="2269">
      <c r="P2269" s="6">
        <f>IF($C2269="","",IF(COUNTIF($C$2:$C2269,$C2269)=1,1,0))</f>
        <v/>
      </c>
    </row>
    <row r="2270">
      <c r="P2270" s="6">
        <f>IF($C2270="","",IF(COUNTIF($C$2:$C2270,$C2270)=1,1,0))</f>
        <v/>
      </c>
    </row>
    <row r="2271">
      <c r="P2271" s="6">
        <f>IF($C2271="","",IF(COUNTIF($C$2:$C2271,$C2271)=1,1,0))</f>
        <v/>
      </c>
    </row>
    <row r="2272">
      <c r="P2272" s="6">
        <f>IF($C2272="","",IF(COUNTIF($C$2:$C2272,$C2272)=1,1,0))</f>
        <v/>
      </c>
    </row>
    <row r="2273">
      <c r="P2273" s="6">
        <f>IF($C2273="","",IF(COUNTIF($C$2:$C2273,$C2273)=1,1,0))</f>
        <v/>
      </c>
    </row>
    <row r="2274">
      <c r="P2274" s="6">
        <f>IF($C2274="","",IF(COUNTIF($C$2:$C2274,$C2274)=1,1,0))</f>
        <v/>
      </c>
    </row>
    <row r="2275">
      <c r="P2275" s="6">
        <f>IF($C2275="","",IF(COUNTIF($C$2:$C2275,$C2275)=1,1,0))</f>
        <v/>
      </c>
    </row>
    <row r="2276">
      <c r="P2276" s="6">
        <f>IF($C2276="","",IF(COUNTIF($C$2:$C2276,$C2276)=1,1,0))</f>
        <v/>
      </c>
    </row>
    <row r="2277">
      <c r="P2277" s="6">
        <f>IF($C2277="","",IF(COUNTIF($C$2:$C2277,$C2277)=1,1,0))</f>
        <v/>
      </c>
    </row>
    <row r="2278">
      <c r="P2278" s="6">
        <f>IF($C2278="","",IF(COUNTIF($C$2:$C2278,$C2278)=1,1,0))</f>
        <v/>
      </c>
    </row>
    <row r="2279">
      <c r="P2279" s="6">
        <f>IF($C2279="","",IF(COUNTIF($C$2:$C2279,$C2279)=1,1,0))</f>
        <v/>
      </c>
    </row>
    <row r="2280">
      <c r="P2280" s="6">
        <f>IF($C2280="","",IF(COUNTIF($C$2:$C2280,$C2280)=1,1,0))</f>
        <v/>
      </c>
    </row>
    <row r="2281">
      <c r="P2281" s="6">
        <f>IF($C2281="","",IF(COUNTIF($C$2:$C2281,$C2281)=1,1,0))</f>
        <v/>
      </c>
    </row>
    <row r="2282">
      <c r="P2282" s="6">
        <f>IF($C2282="","",IF(COUNTIF($C$2:$C2282,$C2282)=1,1,0))</f>
        <v/>
      </c>
    </row>
    <row r="2283">
      <c r="P2283" s="6">
        <f>IF($C2283="","",IF(COUNTIF($C$2:$C2283,$C2283)=1,1,0))</f>
        <v/>
      </c>
    </row>
    <row r="2284">
      <c r="P2284" s="6">
        <f>IF($C2284="","",IF(COUNTIF($C$2:$C2284,$C2284)=1,1,0))</f>
        <v/>
      </c>
    </row>
    <row r="2285">
      <c r="P2285" s="6">
        <f>IF($C2285="","",IF(COUNTIF($C$2:$C2285,$C2285)=1,1,0))</f>
        <v/>
      </c>
    </row>
    <row r="2286">
      <c r="P2286" s="6">
        <f>IF($C2286="","",IF(COUNTIF($C$2:$C2286,$C2286)=1,1,0))</f>
        <v/>
      </c>
    </row>
    <row r="2287">
      <c r="P2287" s="6">
        <f>IF($C2287="","",IF(COUNTIF($C$2:$C2287,$C2287)=1,1,0))</f>
        <v/>
      </c>
    </row>
    <row r="2288">
      <c r="P2288" s="6">
        <f>IF($C2288="","",IF(COUNTIF($C$2:$C2288,$C2288)=1,1,0))</f>
        <v/>
      </c>
    </row>
    <row r="2289">
      <c r="P2289" s="6">
        <f>IF($C2289="","",IF(COUNTIF($C$2:$C2289,$C2289)=1,1,0))</f>
        <v/>
      </c>
    </row>
    <row r="2290">
      <c r="P2290" s="6">
        <f>IF($C2290="","",IF(COUNTIF($C$2:$C2290,$C2290)=1,1,0))</f>
        <v/>
      </c>
    </row>
    <row r="2291">
      <c r="P2291" s="6">
        <f>IF($C2291="","",IF(COUNTIF($C$2:$C2291,$C2291)=1,1,0))</f>
        <v/>
      </c>
    </row>
    <row r="2292">
      <c r="P2292" s="6">
        <f>IF($C2292="","",IF(COUNTIF($C$2:$C2292,$C2292)=1,1,0))</f>
        <v/>
      </c>
    </row>
    <row r="2293">
      <c r="P2293" s="6">
        <f>IF($C2293="","",IF(COUNTIF($C$2:$C2293,$C2293)=1,1,0))</f>
        <v/>
      </c>
    </row>
    <row r="2294">
      <c r="P2294" s="6">
        <f>IF($C2294="","",IF(COUNTIF($C$2:$C2294,$C2294)=1,1,0))</f>
        <v/>
      </c>
    </row>
    <row r="2295">
      <c r="P2295" s="6">
        <f>IF($C2295="","",IF(COUNTIF($C$2:$C2295,$C2295)=1,1,0))</f>
        <v/>
      </c>
    </row>
    <row r="2296">
      <c r="P2296" s="6">
        <f>IF($C2296="","",IF(COUNTIF($C$2:$C2296,$C2296)=1,1,0))</f>
        <v/>
      </c>
    </row>
    <row r="2297">
      <c r="P2297" s="6">
        <f>IF($C2297="","",IF(COUNTIF($C$2:$C2297,$C2297)=1,1,0))</f>
        <v/>
      </c>
    </row>
    <row r="2298">
      <c r="P2298" s="6">
        <f>IF($C2298="","",IF(COUNTIF($C$2:$C2298,$C2298)=1,1,0))</f>
        <v/>
      </c>
    </row>
    <row r="2299">
      <c r="P2299" s="6">
        <f>IF($C2299="","",IF(COUNTIF($C$2:$C2299,$C2299)=1,1,0))</f>
        <v/>
      </c>
    </row>
    <row r="2300">
      <c r="P2300" s="6">
        <f>IF($C2300="","",IF(COUNTIF($C$2:$C2300,$C2300)=1,1,0))</f>
        <v/>
      </c>
    </row>
    <row r="2301">
      <c r="P2301" s="6">
        <f>IF($C2301="","",IF(COUNTIF($C$2:$C2301,$C2301)=1,1,0))</f>
        <v/>
      </c>
    </row>
    <row r="2302">
      <c r="P2302" s="6">
        <f>IF($C2302="","",IF(COUNTIF($C$2:$C2302,$C2302)=1,1,0))</f>
        <v/>
      </c>
    </row>
    <row r="2303">
      <c r="P2303" s="6">
        <f>IF($C2303="","",IF(COUNTIF($C$2:$C2303,$C2303)=1,1,0))</f>
        <v/>
      </c>
    </row>
    <row r="2304">
      <c r="P2304" s="6">
        <f>IF($C2304="","",IF(COUNTIF($C$2:$C2304,$C2304)=1,1,0))</f>
        <v/>
      </c>
    </row>
    <row r="2305">
      <c r="P2305" s="6">
        <f>IF($C2305="","",IF(COUNTIF($C$2:$C2305,$C2305)=1,1,0))</f>
        <v/>
      </c>
    </row>
    <row r="2306">
      <c r="P2306" s="6">
        <f>IF($C2306="","",IF(COUNTIF($C$2:$C2306,$C2306)=1,1,0))</f>
        <v/>
      </c>
    </row>
    <row r="2307">
      <c r="P2307" s="6">
        <f>IF($C2307="","",IF(COUNTIF($C$2:$C2307,$C2307)=1,1,0))</f>
        <v/>
      </c>
    </row>
    <row r="2308">
      <c r="P2308" s="6">
        <f>IF($C2308="","",IF(COUNTIF($C$2:$C2308,$C2308)=1,1,0))</f>
        <v/>
      </c>
    </row>
    <row r="2309">
      <c r="P2309" s="6">
        <f>IF($C2309="","",IF(COUNTIF($C$2:$C2309,$C2309)=1,1,0))</f>
        <v/>
      </c>
    </row>
    <row r="2310">
      <c r="P2310" s="6">
        <f>IF($C2310="","",IF(COUNTIF($C$2:$C2310,$C2310)=1,1,0))</f>
        <v/>
      </c>
    </row>
    <row r="2311">
      <c r="P2311" s="6">
        <f>IF($C2311="","",IF(COUNTIF($C$2:$C2311,$C2311)=1,1,0))</f>
        <v/>
      </c>
    </row>
    <row r="2312">
      <c r="P2312" s="6">
        <f>IF($C2312="","",IF(COUNTIF($C$2:$C2312,$C2312)=1,1,0))</f>
        <v/>
      </c>
    </row>
    <row r="2313">
      <c r="P2313" s="6">
        <f>IF($C2313="","",IF(COUNTIF($C$2:$C2313,$C2313)=1,1,0))</f>
        <v/>
      </c>
    </row>
    <row r="2314">
      <c r="P2314" s="6">
        <f>IF($C2314="","",IF(COUNTIF($C$2:$C2314,$C2314)=1,1,0))</f>
        <v/>
      </c>
    </row>
    <row r="2315">
      <c r="P2315" s="6">
        <f>IF($C2315="","",IF(COUNTIF($C$2:$C2315,$C2315)=1,1,0))</f>
        <v/>
      </c>
    </row>
    <row r="2316">
      <c r="P2316" s="6">
        <f>IF($C2316="","",IF(COUNTIF($C$2:$C2316,$C2316)=1,1,0))</f>
        <v/>
      </c>
    </row>
    <row r="2317">
      <c r="P2317" s="6">
        <f>IF($C2317="","",IF(COUNTIF($C$2:$C2317,$C2317)=1,1,0))</f>
        <v/>
      </c>
    </row>
    <row r="2318">
      <c r="P2318" s="6">
        <f>IF($C2318="","",IF(COUNTIF($C$2:$C2318,$C2318)=1,1,0))</f>
        <v/>
      </c>
    </row>
    <row r="2319">
      <c r="P2319" s="6">
        <f>IF($C2319="","",IF(COUNTIF($C$2:$C2319,$C2319)=1,1,0))</f>
        <v/>
      </c>
    </row>
    <row r="2320">
      <c r="P2320" s="6">
        <f>IF($C2320="","",IF(COUNTIF($C$2:$C2320,$C2320)=1,1,0))</f>
        <v/>
      </c>
    </row>
    <row r="2321">
      <c r="P2321" s="6">
        <f>IF($C2321="","",IF(COUNTIF($C$2:$C2321,$C2321)=1,1,0))</f>
        <v/>
      </c>
    </row>
    <row r="2322">
      <c r="P2322" s="6">
        <f>IF($C2322="","",IF(COUNTIF($C$2:$C2322,$C2322)=1,1,0))</f>
        <v/>
      </c>
    </row>
    <row r="2323">
      <c r="P2323" s="6">
        <f>IF($C2323="","",IF(COUNTIF($C$2:$C2323,$C2323)=1,1,0))</f>
        <v/>
      </c>
    </row>
    <row r="2324">
      <c r="P2324" s="6">
        <f>IF($C2324="","",IF(COUNTIF($C$2:$C2324,$C2324)=1,1,0))</f>
        <v/>
      </c>
    </row>
    <row r="2325">
      <c r="P2325" s="6">
        <f>IF($C2325="","",IF(COUNTIF($C$2:$C2325,$C2325)=1,1,0))</f>
        <v/>
      </c>
    </row>
    <row r="2326">
      <c r="P2326" s="6">
        <f>IF($C2326="","",IF(COUNTIF($C$2:$C2326,$C2326)=1,1,0))</f>
        <v/>
      </c>
    </row>
    <row r="2327">
      <c r="P2327" s="6">
        <f>IF($C2327="","",IF(COUNTIF($C$2:$C2327,$C2327)=1,1,0))</f>
        <v/>
      </c>
    </row>
    <row r="2328">
      <c r="P2328" s="6">
        <f>IF($C2328="","",IF(COUNTIF($C$2:$C2328,$C2328)=1,1,0))</f>
        <v/>
      </c>
    </row>
    <row r="2329">
      <c r="P2329" s="6">
        <f>IF($C2329="","",IF(COUNTIF($C$2:$C2329,$C2329)=1,1,0))</f>
        <v/>
      </c>
    </row>
    <row r="2330">
      <c r="P2330" s="6">
        <f>IF($C2330="","",IF(COUNTIF($C$2:$C2330,$C2330)=1,1,0))</f>
        <v/>
      </c>
    </row>
    <row r="2331">
      <c r="P2331" s="6">
        <f>IF($C2331="","",IF(COUNTIF($C$2:$C2331,$C2331)=1,1,0))</f>
        <v/>
      </c>
    </row>
    <row r="2332">
      <c r="P2332" s="6">
        <f>IF($C2332="","",IF(COUNTIF($C$2:$C2332,$C2332)=1,1,0))</f>
        <v/>
      </c>
    </row>
    <row r="2333">
      <c r="P2333" s="6">
        <f>IF($C2333="","",IF(COUNTIF($C$2:$C2333,$C2333)=1,1,0))</f>
        <v/>
      </c>
    </row>
    <row r="2334">
      <c r="P2334" s="6">
        <f>IF($C2334="","",IF(COUNTIF($C$2:$C2334,$C2334)=1,1,0))</f>
        <v/>
      </c>
    </row>
    <row r="2335">
      <c r="P2335" s="6">
        <f>IF($C2335="","",IF(COUNTIF($C$2:$C2335,$C2335)=1,1,0))</f>
        <v/>
      </c>
    </row>
    <row r="2336">
      <c r="P2336" s="6">
        <f>IF($C2336="","",IF(COUNTIF($C$2:$C2336,$C2336)=1,1,0))</f>
        <v/>
      </c>
    </row>
    <row r="2337">
      <c r="P2337" s="6">
        <f>IF($C2337="","",IF(COUNTIF($C$2:$C2337,$C2337)=1,1,0))</f>
        <v/>
      </c>
    </row>
    <row r="2338">
      <c r="P2338" s="6">
        <f>IF($C2338="","",IF(COUNTIF($C$2:$C2338,$C2338)=1,1,0))</f>
        <v/>
      </c>
    </row>
    <row r="2339">
      <c r="P2339" s="6">
        <f>IF($C2339="","",IF(COUNTIF($C$2:$C2339,$C2339)=1,1,0))</f>
        <v/>
      </c>
    </row>
    <row r="2340">
      <c r="P2340" s="6">
        <f>IF($C2340="","",IF(COUNTIF($C$2:$C2340,$C2340)=1,1,0))</f>
        <v/>
      </c>
    </row>
    <row r="2341">
      <c r="P2341" s="6">
        <f>IF($C2341="","",IF(COUNTIF($C$2:$C2341,$C2341)=1,1,0))</f>
        <v/>
      </c>
    </row>
    <row r="2342">
      <c r="P2342" s="6">
        <f>IF($C2342="","",IF(COUNTIF($C$2:$C2342,$C2342)=1,1,0))</f>
        <v/>
      </c>
    </row>
    <row r="2343">
      <c r="P2343" s="6">
        <f>IF($C2343="","",IF(COUNTIF($C$2:$C2343,$C2343)=1,1,0))</f>
        <v/>
      </c>
    </row>
    <row r="2344">
      <c r="P2344" s="6">
        <f>IF($C2344="","",IF(COUNTIF($C$2:$C2344,$C2344)=1,1,0))</f>
        <v/>
      </c>
    </row>
    <row r="2345">
      <c r="P2345" s="6">
        <f>IF($C2345="","",IF(COUNTIF($C$2:$C2345,$C2345)=1,1,0))</f>
        <v/>
      </c>
    </row>
    <row r="2346">
      <c r="P2346" s="6">
        <f>IF($C2346="","",IF(COUNTIF($C$2:$C2346,$C2346)=1,1,0))</f>
        <v/>
      </c>
    </row>
    <row r="2347">
      <c r="P2347" s="6">
        <f>IF($C2347="","",IF(COUNTIF($C$2:$C2347,$C2347)=1,1,0))</f>
        <v/>
      </c>
    </row>
    <row r="2348">
      <c r="P2348" s="6">
        <f>IF($C2348="","",IF(COUNTIF($C$2:$C2348,$C2348)=1,1,0))</f>
        <v/>
      </c>
    </row>
    <row r="2349">
      <c r="P2349" s="6">
        <f>IF($C2349="","",IF(COUNTIF($C$2:$C2349,$C2349)=1,1,0))</f>
        <v/>
      </c>
    </row>
    <row r="2350">
      <c r="P2350" s="6">
        <f>IF($C2350="","",IF(COUNTIF($C$2:$C2350,$C2350)=1,1,0))</f>
        <v/>
      </c>
    </row>
    <row r="2351">
      <c r="P2351" s="6">
        <f>IF($C2351="","",IF(COUNTIF($C$2:$C2351,$C2351)=1,1,0))</f>
        <v/>
      </c>
    </row>
    <row r="2352">
      <c r="P2352" s="6">
        <f>IF($C2352="","",IF(COUNTIF($C$2:$C2352,$C2352)=1,1,0))</f>
        <v/>
      </c>
    </row>
    <row r="2353">
      <c r="P2353" s="6">
        <f>IF($C2353="","",IF(COUNTIF($C$2:$C2353,$C2353)=1,1,0))</f>
        <v/>
      </c>
    </row>
    <row r="2354">
      <c r="P2354" s="6">
        <f>IF($C2354="","",IF(COUNTIF($C$2:$C2354,$C2354)=1,1,0))</f>
        <v/>
      </c>
    </row>
    <row r="2355">
      <c r="P2355" s="6">
        <f>IF($C2355="","",IF(COUNTIF($C$2:$C2355,$C2355)=1,1,0))</f>
        <v/>
      </c>
    </row>
    <row r="2356">
      <c r="P2356" s="6">
        <f>IF($C2356="","",IF(COUNTIF($C$2:$C2356,$C2356)=1,1,0))</f>
        <v/>
      </c>
    </row>
    <row r="2357">
      <c r="P2357" s="6">
        <f>IF($C2357="","",IF(COUNTIF($C$2:$C2357,$C2357)=1,1,0))</f>
        <v/>
      </c>
    </row>
    <row r="2358">
      <c r="P2358" s="6">
        <f>IF($C2358="","",IF(COUNTIF($C$2:$C2358,$C2358)=1,1,0))</f>
        <v/>
      </c>
    </row>
    <row r="2359">
      <c r="P2359" s="6">
        <f>IF($C2359="","",IF(COUNTIF($C$2:$C2359,$C2359)=1,1,0))</f>
        <v/>
      </c>
    </row>
    <row r="2360">
      <c r="P2360" s="6">
        <f>IF($C2360="","",IF(COUNTIF($C$2:$C2360,$C2360)=1,1,0))</f>
        <v/>
      </c>
    </row>
    <row r="2361">
      <c r="P2361" s="6">
        <f>IF($C2361="","",IF(COUNTIF($C$2:$C2361,$C2361)=1,1,0))</f>
        <v/>
      </c>
    </row>
    <row r="2362">
      <c r="P2362" s="6">
        <f>IF($C2362="","",IF(COUNTIF($C$2:$C2362,$C2362)=1,1,0))</f>
        <v/>
      </c>
    </row>
    <row r="2363">
      <c r="P2363" s="6">
        <f>IF($C2363="","",IF(COUNTIF($C$2:$C2363,$C2363)=1,1,0))</f>
        <v/>
      </c>
    </row>
    <row r="2364">
      <c r="P2364" s="6">
        <f>IF($C2364="","",IF(COUNTIF($C$2:$C2364,$C2364)=1,1,0))</f>
        <v/>
      </c>
    </row>
    <row r="2365">
      <c r="P2365" s="6">
        <f>IF($C2365="","",IF(COUNTIF($C$2:$C2365,$C2365)=1,1,0))</f>
        <v/>
      </c>
    </row>
    <row r="2366">
      <c r="P2366" s="6">
        <f>IF($C2366="","",IF(COUNTIF($C$2:$C2366,$C2366)=1,1,0))</f>
        <v/>
      </c>
    </row>
    <row r="2367">
      <c r="P2367" s="6">
        <f>IF($C2367="","",IF(COUNTIF($C$2:$C2367,$C2367)=1,1,0))</f>
        <v/>
      </c>
    </row>
    <row r="2368">
      <c r="P2368" s="6">
        <f>IF($C2368="","",IF(COUNTIF($C$2:$C2368,$C2368)=1,1,0))</f>
        <v/>
      </c>
    </row>
    <row r="2369">
      <c r="P2369" s="6">
        <f>IF($C2369="","",IF(COUNTIF($C$2:$C2369,$C2369)=1,1,0))</f>
        <v/>
      </c>
    </row>
    <row r="2370">
      <c r="P2370" s="6">
        <f>IF($C2370="","",IF(COUNTIF($C$2:$C2370,$C2370)=1,1,0))</f>
        <v/>
      </c>
    </row>
    <row r="2371">
      <c r="P2371" s="6">
        <f>IF($C2371="","",IF(COUNTIF($C$2:$C2371,$C2371)=1,1,0))</f>
        <v/>
      </c>
    </row>
    <row r="2372">
      <c r="P2372" s="6">
        <f>IF($C2372="","",IF(COUNTIF($C$2:$C2372,$C2372)=1,1,0))</f>
        <v/>
      </c>
    </row>
    <row r="2373">
      <c r="P2373" s="6">
        <f>IF($C2373="","",IF(COUNTIF($C$2:$C2373,$C2373)=1,1,0))</f>
        <v/>
      </c>
    </row>
    <row r="2374">
      <c r="P2374" s="6">
        <f>IF($C2374="","",IF(COUNTIF($C$2:$C2374,$C2374)=1,1,0))</f>
        <v/>
      </c>
    </row>
    <row r="2375">
      <c r="P2375" s="6">
        <f>IF($C2375="","",IF(COUNTIF($C$2:$C2375,$C2375)=1,1,0))</f>
        <v/>
      </c>
    </row>
    <row r="2376">
      <c r="P2376" s="6">
        <f>IF($C2376="","",IF(COUNTIF($C$2:$C2376,$C2376)=1,1,0))</f>
        <v/>
      </c>
    </row>
    <row r="2377">
      <c r="P2377" s="6">
        <f>IF($C2377="","",IF(COUNTIF($C$2:$C2377,$C2377)=1,1,0))</f>
        <v/>
      </c>
    </row>
    <row r="2378">
      <c r="P2378" s="6">
        <f>IF($C2378="","",IF(COUNTIF($C$2:$C2378,$C2378)=1,1,0))</f>
        <v/>
      </c>
    </row>
    <row r="2379">
      <c r="P2379" s="6">
        <f>IF($C2379="","",IF(COUNTIF($C$2:$C2379,$C2379)=1,1,0))</f>
        <v/>
      </c>
    </row>
    <row r="2380">
      <c r="P2380" s="6">
        <f>IF($C2380="","",IF(COUNTIF($C$2:$C2380,$C2380)=1,1,0))</f>
        <v/>
      </c>
    </row>
    <row r="2381">
      <c r="P2381" s="6">
        <f>IF($C2381="","",IF(COUNTIF($C$2:$C2381,$C2381)=1,1,0))</f>
        <v/>
      </c>
    </row>
    <row r="2382">
      <c r="P2382" s="6">
        <f>IF($C2382="","",IF(COUNTIF($C$2:$C2382,$C2382)=1,1,0))</f>
        <v/>
      </c>
    </row>
    <row r="2383">
      <c r="P2383" s="6">
        <f>IF($C2383="","",IF(COUNTIF($C$2:$C2383,$C2383)=1,1,0))</f>
        <v/>
      </c>
    </row>
    <row r="2384">
      <c r="P2384" s="6">
        <f>IF($C2384="","",IF(COUNTIF($C$2:$C2384,$C2384)=1,1,0))</f>
        <v/>
      </c>
    </row>
    <row r="2385">
      <c r="P2385" s="6">
        <f>IF($C2385="","",IF(COUNTIF($C$2:$C2385,$C2385)=1,1,0))</f>
        <v/>
      </c>
    </row>
    <row r="2386">
      <c r="P2386" s="6">
        <f>IF($C2386="","",IF(COUNTIF($C$2:$C2386,$C2386)=1,1,0))</f>
        <v/>
      </c>
    </row>
    <row r="2387">
      <c r="P2387" s="6">
        <f>IF($C2387="","",IF(COUNTIF($C$2:$C2387,$C2387)=1,1,0))</f>
        <v/>
      </c>
    </row>
    <row r="2388">
      <c r="P2388" s="6">
        <f>IF($C2388="","",IF(COUNTIF($C$2:$C2388,$C2388)=1,1,0))</f>
        <v/>
      </c>
    </row>
    <row r="2389">
      <c r="P2389" s="6">
        <f>IF($C2389="","",IF(COUNTIF($C$2:$C2389,$C2389)=1,1,0))</f>
        <v/>
      </c>
    </row>
    <row r="2390">
      <c r="P2390" s="6">
        <f>IF($C2390="","",IF(COUNTIF($C$2:$C2390,$C2390)=1,1,0))</f>
        <v/>
      </c>
    </row>
    <row r="2391">
      <c r="P2391" s="6">
        <f>IF($C2391="","",IF(COUNTIF($C$2:$C2391,$C2391)=1,1,0))</f>
        <v/>
      </c>
    </row>
    <row r="2392">
      <c r="P2392" s="6">
        <f>IF($C2392="","",IF(COUNTIF($C$2:$C2392,$C2392)=1,1,0))</f>
        <v/>
      </c>
    </row>
    <row r="2393">
      <c r="P2393" s="6">
        <f>IF($C2393="","",IF(COUNTIF($C$2:$C2393,$C2393)=1,1,0))</f>
        <v/>
      </c>
    </row>
    <row r="2394">
      <c r="P2394" s="6">
        <f>IF($C2394="","",IF(COUNTIF($C$2:$C2394,$C2394)=1,1,0))</f>
        <v/>
      </c>
    </row>
    <row r="2395">
      <c r="P2395" s="6">
        <f>IF($C2395="","",IF(COUNTIF($C$2:$C2395,$C2395)=1,1,0))</f>
        <v/>
      </c>
    </row>
    <row r="2396">
      <c r="P2396" s="6">
        <f>IF($C2396="","",IF(COUNTIF($C$2:$C2396,$C2396)=1,1,0))</f>
        <v/>
      </c>
    </row>
    <row r="2397">
      <c r="P2397" s="6">
        <f>IF($C2397="","",IF(COUNTIF($C$2:$C2397,$C2397)=1,1,0))</f>
        <v/>
      </c>
    </row>
    <row r="2398">
      <c r="P2398" s="6">
        <f>IF($C2398="","",IF(COUNTIF($C$2:$C2398,$C2398)=1,1,0))</f>
        <v/>
      </c>
    </row>
    <row r="2399">
      <c r="P2399" s="6">
        <f>IF($C2399="","",IF(COUNTIF($C$2:$C2399,$C2399)=1,1,0))</f>
        <v/>
      </c>
    </row>
    <row r="2400">
      <c r="P2400" s="6">
        <f>IF($C2400="","",IF(COUNTIF($C$2:$C2400,$C2400)=1,1,0))</f>
        <v/>
      </c>
    </row>
    <row r="2401">
      <c r="P2401" s="6">
        <f>IF($C2401="","",IF(COUNTIF($C$2:$C2401,$C2401)=1,1,0))</f>
        <v/>
      </c>
    </row>
    <row r="2402">
      <c r="P2402" s="6">
        <f>IF($C2402="","",IF(COUNTIF($C$2:$C2402,$C2402)=1,1,0))</f>
        <v/>
      </c>
    </row>
    <row r="2403">
      <c r="P2403" s="6">
        <f>IF($C2403="","",IF(COUNTIF($C$2:$C2403,$C2403)=1,1,0))</f>
        <v/>
      </c>
    </row>
    <row r="2404">
      <c r="P2404" s="6">
        <f>IF($C2404="","",IF(COUNTIF($C$2:$C2404,$C2404)=1,1,0))</f>
        <v/>
      </c>
    </row>
    <row r="2405">
      <c r="P2405" s="6">
        <f>IF($C2405="","",IF(COUNTIF($C$2:$C2405,$C2405)=1,1,0))</f>
        <v/>
      </c>
    </row>
    <row r="2406">
      <c r="P2406" s="6">
        <f>IF($C2406="","",IF(COUNTIF($C$2:$C2406,$C2406)=1,1,0))</f>
        <v/>
      </c>
    </row>
    <row r="2407">
      <c r="P2407" s="6">
        <f>IF($C2407="","",IF(COUNTIF($C$2:$C2407,$C2407)=1,1,0))</f>
        <v/>
      </c>
    </row>
    <row r="2408">
      <c r="P2408" s="6">
        <f>IF($C2408="","",IF(COUNTIF($C$2:$C2408,$C2408)=1,1,0))</f>
        <v/>
      </c>
    </row>
    <row r="2409">
      <c r="P2409" s="6">
        <f>IF($C2409="","",IF(COUNTIF($C$2:$C2409,$C2409)=1,1,0))</f>
        <v/>
      </c>
    </row>
    <row r="2410">
      <c r="P2410" s="6">
        <f>IF($C2410="","",IF(COUNTIF($C$2:$C2410,$C2410)=1,1,0))</f>
        <v/>
      </c>
    </row>
    <row r="2411">
      <c r="P2411" s="6">
        <f>IF($C2411="","",IF(COUNTIF($C$2:$C2411,$C2411)=1,1,0))</f>
        <v/>
      </c>
    </row>
    <row r="2412">
      <c r="P2412" s="6">
        <f>IF($C2412="","",IF(COUNTIF($C$2:$C2412,$C2412)=1,1,0))</f>
        <v/>
      </c>
    </row>
    <row r="2413">
      <c r="P2413" s="6">
        <f>IF($C2413="","",IF(COUNTIF($C$2:$C2413,$C2413)=1,1,0))</f>
        <v/>
      </c>
    </row>
    <row r="2414">
      <c r="P2414" s="6">
        <f>IF($C2414="","",IF(COUNTIF($C$2:$C2414,$C2414)=1,1,0))</f>
        <v/>
      </c>
    </row>
    <row r="2415">
      <c r="P2415" s="6">
        <f>IF($C2415="","",IF(COUNTIF($C$2:$C2415,$C2415)=1,1,0))</f>
        <v/>
      </c>
    </row>
    <row r="2416">
      <c r="P2416" s="6">
        <f>IF($C2416="","",IF(COUNTIF($C$2:$C2416,$C2416)=1,1,0))</f>
        <v/>
      </c>
    </row>
    <row r="2417">
      <c r="P2417" s="6">
        <f>IF($C2417="","",IF(COUNTIF($C$2:$C2417,$C2417)=1,1,0))</f>
        <v/>
      </c>
    </row>
    <row r="2418">
      <c r="P2418" s="6">
        <f>IF($C2418="","",IF(COUNTIF($C$2:$C2418,$C2418)=1,1,0))</f>
        <v/>
      </c>
    </row>
    <row r="2419">
      <c r="P2419" s="6">
        <f>IF($C2419="","",IF(COUNTIF($C$2:$C2419,$C2419)=1,1,0))</f>
        <v/>
      </c>
    </row>
    <row r="2420">
      <c r="P2420" s="6">
        <f>IF($C2420="","",IF(COUNTIF($C$2:$C2420,$C2420)=1,1,0))</f>
        <v/>
      </c>
    </row>
    <row r="2421">
      <c r="P2421" s="6">
        <f>IF($C2421="","",IF(COUNTIF($C$2:$C2421,$C2421)=1,1,0))</f>
        <v/>
      </c>
    </row>
    <row r="2422">
      <c r="P2422" s="6">
        <f>IF($C2422="","",IF(COUNTIF($C$2:$C2422,$C2422)=1,1,0))</f>
        <v/>
      </c>
    </row>
    <row r="2423">
      <c r="P2423" s="6">
        <f>IF($C2423="","",IF(COUNTIF($C$2:$C2423,$C2423)=1,1,0))</f>
        <v/>
      </c>
    </row>
    <row r="2424">
      <c r="P2424" s="6">
        <f>IF($C2424="","",IF(COUNTIF($C$2:$C2424,$C2424)=1,1,0))</f>
        <v/>
      </c>
    </row>
    <row r="2425">
      <c r="P2425" s="6">
        <f>IF($C2425="","",IF(COUNTIF($C$2:$C2425,$C2425)=1,1,0))</f>
        <v/>
      </c>
    </row>
    <row r="2426">
      <c r="P2426" s="6">
        <f>IF($C2426="","",IF(COUNTIF($C$2:$C2426,$C2426)=1,1,0))</f>
        <v/>
      </c>
    </row>
    <row r="2427">
      <c r="P2427" s="6">
        <f>IF($C2427="","",IF(COUNTIF($C$2:$C2427,$C2427)=1,1,0))</f>
        <v/>
      </c>
    </row>
    <row r="2428">
      <c r="P2428" s="6">
        <f>IF($C2428="","",IF(COUNTIF($C$2:$C2428,$C2428)=1,1,0))</f>
        <v/>
      </c>
    </row>
    <row r="2429">
      <c r="P2429" s="6">
        <f>IF($C2429="","",IF(COUNTIF($C$2:$C2429,$C2429)=1,1,0))</f>
        <v/>
      </c>
    </row>
    <row r="2430">
      <c r="P2430" s="6">
        <f>IF($C2430="","",IF(COUNTIF($C$2:$C2430,$C2430)=1,1,0))</f>
        <v/>
      </c>
    </row>
    <row r="2431">
      <c r="P2431" s="6">
        <f>IF($C2431="","",IF(COUNTIF($C$2:$C2431,$C2431)=1,1,0))</f>
        <v/>
      </c>
    </row>
    <row r="2432">
      <c r="P2432" s="6">
        <f>IF($C2432="","",IF(COUNTIF($C$2:$C2432,$C2432)=1,1,0))</f>
        <v/>
      </c>
    </row>
    <row r="2433">
      <c r="P2433" s="6">
        <f>IF($C2433="","",IF(COUNTIF($C$2:$C2433,$C2433)=1,1,0))</f>
        <v/>
      </c>
    </row>
    <row r="2434">
      <c r="P2434" s="6">
        <f>IF($C2434="","",IF(COUNTIF($C$2:$C2434,$C2434)=1,1,0))</f>
        <v/>
      </c>
    </row>
    <row r="2435">
      <c r="P2435" s="6">
        <f>IF($C2435="","",IF(COUNTIF($C$2:$C2435,$C2435)=1,1,0))</f>
        <v/>
      </c>
    </row>
    <row r="2436">
      <c r="P2436" s="6">
        <f>IF($C2436="","",IF(COUNTIF($C$2:$C2436,$C2436)=1,1,0))</f>
        <v/>
      </c>
    </row>
    <row r="2437">
      <c r="P2437" s="6">
        <f>IF($C2437="","",IF(COUNTIF($C$2:$C2437,$C2437)=1,1,0))</f>
        <v/>
      </c>
    </row>
    <row r="2438">
      <c r="P2438" s="6">
        <f>IF($C2438="","",IF(COUNTIF($C$2:$C2438,$C2438)=1,1,0))</f>
        <v/>
      </c>
    </row>
    <row r="2439">
      <c r="P2439" s="6">
        <f>IF($C2439="","",IF(COUNTIF($C$2:$C2439,$C2439)=1,1,0))</f>
        <v/>
      </c>
    </row>
    <row r="2440">
      <c r="P2440" s="6">
        <f>IF($C2440="","",IF(COUNTIF($C$2:$C2440,$C2440)=1,1,0))</f>
        <v/>
      </c>
    </row>
    <row r="2441">
      <c r="P2441" s="6">
        <f>IF($C2441="","",IF(COUNTIF($C$2:$C2441,$C2441)=1,1,0))</f>
        <v/>
      </c>
    </row>
    <row r="2442">
      <c r="P2442" s="6">
        <f>IF($C2442="","",IF(COUNTIF($C$2:$C2442,$C2442)=1,1,0))</f>
        <v/>
      </c>
    </row>
    <row r="2443">
      <c r="P2443" s="6">
        <f>IF($C2443="","",IF(COUNTIF($C$2:$C2443,$C2443)=1,1,0))</f>
        <v/>
      </c>
    </row>
    <row r="2444">
      <c r="P2444" s="6">
        <f>IF($C2444="","",IF(COUNTIF($C$2:$C2444,$C2444)=1,1,0))</f>
        <v/>
      </c>
    </row>
    <row r="2445">
      <c r="P2445" s="6">
        <f>IF($C2445="","",IF(COUNTIF($C$2:$C2445,$C2445)=1,1,0))</f>
        <v/>
      </c>
    </row>
    <row r="2446">
      <c r="P2446" s="6">
        <f>IF($C2446="","",IF(COUNTIF($C$2:$C2446,$C2446)=1,1,0))</f>
        <v/>
      </c>
    </row>
    <row r="2447">
      <c r="P2447" s="6">
        <f>IF($C2447="","",IF(COUNTIF($C$2:$C2447,$C2447)=1,1,0))</f>
        <v/>
      </c>
    </row>
    <row r="2448">
      <c r="P2448" s="6">
        <f>IF($C2448="","",IF(COUNTIF($C$2:$C2448,$C2448)=1,1,0))</f>
        <v/>
      </c>
    </row>
    <row r="2449">
      <c r="P2449" s="6">
        <f>IF($C2449="","",IF(COUNTIF($C$2:$C2449,$C2449)=1,1,0))</f>
        <v/>
      </c>
    </row>
    <row r="2450">
      <c r="P2450" s="6">
        <f>IF($C2450="","",IF(COUNTIF($C$2:$C2450,$C2450)=1,1,0))</f>
        <v/>
      </c>
    </row>
    <row r="2451">
      <c r="P2451" s="6">
        <f>IF($C2451="","",IF(COUNTIF($C$2:$C2451,$C2451)=1,1,0))</f>
        <v/>
      </c>
    </row>
    <row r="2452">
      <c r="P2452" s="6">
        <f>IF($C2452="","",IF(COUNTIF($C$2:$C2452,$C2452)=1,1,0))</f>
        <v/>
      </c>
    </row>
    <row r="2453">
      <c r="P2453" s="6">
        <f>IF($C2453="","",IF(COUNTIF($C$2:$C2453,$C2453)=1,1,0))</f>
        <v/>
      </c>
    </row>
    <row r="2454">
      <c r="P2454" s="6">
        <f>IF($C2454="","",IF(COUNTIF($C$2:$C2454,$C2454)=1,1,0))</f>
        <v/>
      </c>
    </row>
    <row r="2455">
      <c r="P2455" s="6">
        <f>IF($C2455="","",IF(COUNTIF($C$2:$C2455,$C2455)=1,1,0))</f>
        <v/>
      </c>
    </row>
    <row r="2456">
      <c r="P2456" s="6">
        <f>IF($C2456="","",IF(COUNTIF($C$2:$C2456,$C2456)=1,1,0))</f>
        <v/>
      </c>
    </row>
    <row r="2457">
      <c r="P2457" s="6">
        <f>IF($C2457="","",IF(COUNTIF($C$2:$C2457,$C2457)=1,1,0))</f>
        <v/>
      </c>
    </row>
    <row r="2458">
      <c r="P2458" s="6">
        <f>IF($C2458="","",IF(COUNTIF($C$2:$C2458,$C2458)=1,1,0))</f>
        <v/>
      </c>
    </row>
    <row r="2459">
      <c r="P2459" s="6">
        <f>IF($C2459="","",IF(COUNTIF($C$2:$C2459,$C2459)=1,1,0))</f>
        <v/>
      </c>
    </row>
    <row r="2460">
      <c r="P2460" s="6">
        <f>IF($C2460="","",IF(COUNTIF($C$2:$C2460,$C2460)=1,1,0))</f>
        <v/>
      </c>
    </row>
    <row r="2461">
      <c r="P2461" s="6">
        <f>IF($C2461="","",IF(COUNTIF($C$2:$C2461,$C2461)=1,1,0))</f>
        <v/>
      </c>
    </row>
    <row r="2462">
      <c r="P2462" s="6">
        <f>IF($C2462="","",IF(COUNTIF($C$2:$C2462,$C2462)=1,1,0))</f>
        <v/>
      </c>
    </row>
    <row r="2463">
      <c r="P2463" s="6">
        <f>IF($C2463="","",IF(COUNTIF($C$2:$C2463,$C2463)=1,1,0))</f>
        <v/>
      </c>
    </row>
    <row r="2464">
      <c r="P2464" s="6">
        <f>IF($C2464="","",IF(COUNTIF($C$2:$C2464,$C2464)=1,1,0))</f>
        <v/>
      </c>
    </row>
    <row r="2465">
      <c r="P2465" s="6">
        <f>IF($C2465="","",IF(COUNTIF($C$2:$C2465,$C2465)=1,1,0))</f>
        <v/>
      </c>
    </row>
    <row r="2466">
      <c r="P2466" s="6">
        <f>IF($C2466="","",IF(COUNTIF($C$2:$C2466,$C2466)=1,1,0))</f>
        <v/>
      </c>
    </row>
    <row r="2467">
      <c r="P2467" s="6">
        <f>IF($C2467="","",IF(COUNTIF($C$2:$C2467,$C2467)=1,1,0))</f>
        <v/>
      </c>
    </row>
    <row r="2468">
      <c r="P2468" s="6">
        <f>IF($C2468="","",IF(COUNTIF($C$2:$C2468,$C2468)=1,1,0))</f>
        <v/>
      </c>
    </row>
    <row r="2469">
      <c r="P2469" s="6">
        <f>IF($C2469="","",IF(COUNTIF($C$2:$C2469,$C2469)=1,1,0))</f>
        <v/>
      </c>
    </row>
    <row r="2470">
      <c r="P2470" s="6">
        <f>IF($C2470="","",IF(COUNTIF($C$2:$C2470,$C2470)=1,1,0))</f>
        <v/>
      </c>
    </row>
    <row r="2471">
      <c r="P2471" s="6">
        <f>IF($C2471="","",IF(COUNTIF($C$2:$C2471,$C2471)=1,1,0))</f>
        <v/>
      </c>
    </row>
    <row r="2472">
      <c r="P2472" s="6">
        <f>IF($C2472="","",IF(COUNTIF($C$2:$C2472,$C2472)=1,1,0))</f>
        <v/>
      </c>
    </row>
    <row r="2473">
      <c r="P2473" s="6">
        <f>IF($C2473="","",IF(COUNTIF($C$2:$C2473,$C2473)=1,1,0))</f>
        <v/>
      </c>
    </row>
    <row r="2474">
      <c r="P2474" s="6">
        <f>IF($C2474="","",IF(COUNTIF($C$2:$C2474,$C2474)=1,1,0))</f>
        <v/>
      </c>
    </row>
    <row r="2475">
      <c r="P2475" s="6">
        <f>IF($C2475="","",IF(COUNTIF($C$2:$C2475,$C2475)=1,1,0))</f>
        <v/>
      </c>
    </row>
    <row r="2476">
      <c r="P2476" s="6">
        <f>IF($C2476="","",IF(COUNTIF($C$2:$C2476,$C2476)=1,1,0))</f>
        <v/>
      </c>
    </row>
    <row r="2477">
      <c r="P2477" s="6">
        <f>IF($C2477="","",IF(COUNTIF($C$2:$C2477,$C2477)=1,1,0))</f>
        <v/>
      </c>
    </row>
    <row r="2478">
      <c r="P2478" s="6">
        <f>IF($C2478="","",IF(COUNTIF($C$2:$C2478,$C2478)=1,1,0))</f>
        <v/>
      </c>
    </row>
    <row r="2479">
      <c r="P2479" s="6">
        <f>IF($C2479="","",IF(COUNTIF($C$2:$C2479,$C2479)=1,1,0))</f>
        <v/>
      </c>
    </row>
    <row r="2480">
      <c r="P2480" s="6">
        <f>IF($C2480="","",IF(COUNTIF($C$2:$C2480,$C2480)=1,1,0))</f>
        <v/>
      </c>
    </row>
    <row r="2481">
      <c r="P2481" s="6">
        <f>IF($C2481="","",IF(COUNTIF($C$2:$C2481,$C2481)=1,1,0))</f>
        <v/>
      </c>
    </row>
    <row r="2482">
      <c r="P2482" s="6">
        <f>IF($C2482="","",IF(COUNTIF($C$2:$C2482,$C2482)=1,1,0))</f>
        <v/>
      </c>
    </row>
    <row r="2483">
      <c r="P2483" s="6">
        <f>IF($C2483="","",IF(COUNTIF($C$2:$C2483,$C2483)=1,1,0))</f>
        <v/>
      </c>
    </row>
    <row r="2484">
      <c r="P2484" s="6">
        <f>IF($C2484="","",IF(COUNTIF($C$2:$C2484,$C2484)=1,1,0))</f>
        <v/>
      </c>
    </row>
    <row r="2485">
      <c r="P2485" s="6">
        <f>IF($C2485="","",IF(COUNTIF($C$2:$C2485,$C2485)=1,1,0))</f>
        <v/>
      </c>
    </row>
    <row r="2486">
      <c r="P2486" s="6">
        <f>IF($C2486="","",IF(COUNTIF($C$2:$C2486,$C2486)=1,1,0))</f>
        <v/>
      </c>
    </row>
    <row r="2487">
      <c r="P2487" s="6">
        <f>IF($C2487="","",IF(COUNTIF($C$2:$C2487,$C2487)=1,1,0))</f>
        <v/>
      </c>
    </row>
    <row r="2488">
      <c r="P2488" s="6">
        <f>IF($C2488="","",IF(COUNTIF($C$2:$C2488,$C2488)=1,1,0))</f>
        <v/>
      </c>
    </row>
    <row r="2489">
      <c r="P2489" s="6">
        <f>IF($C2489="","",IF(COUNTIF($C$2:$C2489,$C2489)=1,1,0))</f>
        <v/>
      </c>
    </row>
    <row r="2490">
      <c r="P2490" s="6">
        <f>IF($C2490="","",IF(COUNTIF($C$2:$C2490,$C2490)=1,1,0))</f>
        <v/>
      </c>
    </row>
    <row r="2491">
      <c r="P2491" s="6">
        <f>IF($C2491="","",IF(COUNTIF($C$2:$C2491,$C2491)=1,1,0))</f>
        <v/>
      </c>
    </row>
    <row r="2492">
      <c r="P2492" s="6">
        <f>IF($C2492="","",IF(COUNTIF($C$2:$C2492,$C2492)=1,1,0))</f>
        <v/>
      </c>
    </row>
    <row r="2493">
      <c r="P2493" s="6">
        <f>IF($C2493="","",IF(COUNTIF($C$2:$C2493,$C2493)=1,1,0))</f>
        <v/>
      </c>
    </row>
    <row r="2494">
      <c r="P2494" s="6">
        <f>IF($C2494="","",IF(COUNTIF($C$2:$C2494,$C2494)=1,1,0))</f>
        <v/>
      </c>
    </row>
    <row r="2495">
      <c r="P2495" s="6">
        <f>IF($C2495="","",IF(COUNTIF($C$2:$C2495,$C2495)=1,1,0))</f>
        <v/>
      </c>
    </row>
    <row r="2496">
      <c r="P2496" s="6">
        <f>IF($C2496="","",IF(COUNTIF($C$2:$C2496,$C2496)=1,1,0))</f>
        <v/>
      </c>
    </row>
    <row r="2497">
      <c r="P2497" s="6">
        <f>IF($C2497="","",IF(COUNTIF($C$2:$C2497,$C2497)=1,1,0))</f>
        <v/>
      </c>
    </row>
    <row r="2498">
      <c r="P2498" s="6">
        <f>IF($C2498="","",IF(COUNTIF($C$2:$C2498,$C2498)=1,1,0))</f>
        <v/>
      </c>
    </row>
    <row r="2499">
      <c r="P2499" s="6">
        <f>IF($C2499="","",IF(COUNTIF($C$2:$C2499,$C2499)=1,1,0))</f>
        <v/>
      </c>
    </row>
    <row r="2500">
      <c r="P2500" s="6">
        <f>IF($C2500="","",IF(COUNTIF($C$2:$C2500,$C2500)=1,1,0))</f>
        <v/>
      </c>
    </row>
    <row r="2501">
      <c r="P2501" s="6">
        <f>IF($C2501="","",IF(COUNTIF($C$2:$C2501,$C2501)=1,1,0))</f>
        <v/>
      </c>
    </row>
    <row r="2502">
      <c r="P2502" s="6">
        <f>IF($C2502="","",IF(COUNTIF($C$2:$C2502,$C2502)=1,1,0))</f>
        <v/>
      </c>
    </row>
    <row r="2503">
      <c r="P2503" s="6">
        <f>IF($C2503="","",IF(COUNTIF($C$2:$C2503,$C2503)=1,1,0))</f>
        <v/>
      </c>
    </row>
    <row r="2504">
      <c r="P2504" s="6">
        <f>IF($C2504="","",IF(COUNTIF($C$2:$C2504,$C2504)=1,1,0))</f>
        <v/>
      </c>
    </row>
    <row r="2505">
      <c r="P2505" s="6">
        <f>IF($C2505="","",IF(COUNTIF($C$2:$C2505,$C2505)=1,1,0))</f>
        <v/>
      </c>
    </row>
    <row r="2506">
      <c r="P2506" s="6">
        <f>IF($C2506="","",IF(COUNTIF($C$2:$C2506,$C2506)=1,1,0))</f>
        <v/>
      </c>
    </row>
    <row r="2507">
      <c r="P2507" s="6">
        <f>IF($C2507="","",IF(COUNTIF($C$2:$C2507,$C2507)=1,1,0))</f>
        <v/>
      </c>
    </row>
    <row r="2508">
      <c r="P2508" s="6">
        <f>IF($C2508="","",IF(COUNTIF($C$2:$C2508,$C2508)=1,1,0))</f>
        <v/>
      </c>
    </row>
    <row r="2509">
      <c r="P2509" s="6">
        <f>IF($C2509="","",IF(COUNTIF($C$2:$C2509,$C2509)=1,1,0))</f>
        <v/>
      </c>
    </row>
    <row r="2510">
      <c r="P2510" s="6">
        <f>IF($C2510="","",IF(COUNTIF($C$2:$C2510,$C2510)=1,1,0))</f>
        <v/>
      </c>
    </row>
    <row r="2511">
      <c r="P2511" s="6">
        <f>IF($C2511="","",IF(COUNTIF($C$2:$C2511,$C2511)=1,1,0))</f>
        <v/>
      </c>
    </row>
    <row r="2512">
      <c r="P2512" s="6">
        <f>IF($C2512="","",IF(COUNTIF($C$2:$C2512,$C2512)=1,1,0))</f>
        <v/>
      </c>
    </row>
    <row r="2513">
      <c r="P2513" s="6">
        <f>IF($C2513="","",IF(COUNTIF($C$2:$C2513,$C2513)=1,1,0))</f>
        <v/>
      </c>
    </row>
    <row r="2514">
      <c r="P2514" s="6">
        <f>IF($C2514="","",IF(COUNTIF($C$2:$C2514,$C2514)=1,1,0))</f>
        <v/>
      </c>
    </row>
    <row r="2515">
      <c r="P2515" s="6">
        <f>IF($C2515="","",IF(COUNTIF($C$2:$C2515,$C2515)=1,1,0))</f>
        <v/>
      </c>
    </row>
    <row r="2516">
      <c r="P2516" s="6">
        <f>IF($C2516="","",IF(COUNTIF($C$2:$C2516,$C2516)=1,1,0))</f>
        <v/>
      </c>
    </row>
    <row r="2517">
      <c r="P2517" s="6">
        <f>IF($C2517="","",IF(COUNTIF($C$2:$C2517,$C2517)=1,1,0))</f>
        <v/>
      </c>
    </row>
    <row r="2518">
      <c r="P2518" s="6">
        <f>IF($C2518="","",IF(COUNTIF($C$2:$C2518,$C2518)=1,1,0))</f>
        <v/>
      </c>
    </row>
    <row r="2519">
      <c r="P2519" s="6">
        <f>IF($C2519="","",IF(COUNTIF($C$2:$C2519,$C2519)=1,1,0))</f>
        <v/>
      </c>
    </row>
    <row r="2520">
      <c r="P2520" s="6">
        <f>IF($C2520="","",IF(COUNTIF($C$2:$C2520,$C2520)=1,1,0))</f>
        <v/>
      </c>
    </row>
    <row r="2521">
      <c r="P2521" s="6">
        <f>IF($C2521="","",IF(COUNTIF($C$2:$C2521,$C2521)=1,1,0))</f>
        <v/>
      </c>
    </row>
    <row r="2522">
      <c r="P2522" s="6">
        <f>IF($C2522="","",IF(COUNTIF($C$2:$C2522,$C2522)=1,1,0))</f>
        <v/>
      </c>
    </row>
    <row r="2523">
      <c r="P2523" s="6">
        <f>IF($C2523="","",IF(COUNTIF($C$2:$C2523,$C2523)=1,1,0))</f>
        <v/>
      </c>
    </row>
    <row r="2524">
      <c r="P2524" s="6">
        <f>IF($C2524="","",IF(COUNTIF($C$2:$C2524,$C2524)=1,1,0))</f>
        <v/>
      </c>
    </row>
    <row r="2525">
      <c r="P2525" s="6">
        <f>IF($C2525="","",IF(COUNTIF($C$2:$C2525,$C2525)=1,1,0))</f>
        <v/>
      </c>
    </row>
    <row r="2526">
      <c r="P2526" s="6">
        <f>IF($C2526="","",IF(COUNTIF($C$2:$C2526,$C2526)=1,1,0))</f>
        <v/>
      </c>
    </row>
    <row r="2527">
      <c r="P2527" s="6">
        <f>IF($C2527="","",IF(COUNTIF($C$2:$C2527,$C2527)=1,1,0))</f>
        <v/>
      </c>
    </row>
    <row r="2528">
      <c r="P2528" s="6">
        <f>IF($C2528="","",IF(COUNTIF($C$2:$C2528,$C2528)=1,1,0))</f>
        <v/>
      </c>
    </row>
    <row r="2529">
      <c r="P2529" s="6">
        <f>IF($C2529="","",IF(COUNTIF($C$2:$C2529,$C2529)=1,1,0))</f>
        <v/>
      </c>
    </row>
    <row r="2530">
      <c r="P2530" s="6">
        <f>IF($C2530="","",IF(COUNTIF($C$2:$C2530,$C2530)=1,1,0))</f>
        <v/>
      </c>
    </row>
    <row r="2531">
      <c r="P2531" s="6">
        <f>IF($C2531="","",IF(COUNTIF($C$2:$C2531,$C2531)=1,1,0))</f>
        <v/>
      </c>
    </row>
    <row r="2532">
      <c r="P2532" s="6">
        <f>IF($C2532="","",IF(COUNTIF($C$2:$C2532,$C2532)=1,1,0))</f>
        <v/>
      </c>
    </row>
    <row r="2533">
      <c r="P2533" s="6">
        <f>IF($C2533="","",IF(COUNTIF($C$2:$C2533,$C2533)=1,1,0))</f>
        <v/>
      </c>
    </row>
    <row r="2534">
      <c r="P2534" s="6">
        <f>IF($C2534="","",IF(COUNTIF($C$2:$C2534,$C2534)=1,1,0))</f>
        <v/>
      </c>
    </row>
    <row r="2535">
      <c r="P2535" s="6">
        <f>IF($C2535="","",IF(COUNTIF($C$2:$C2535,$C2535)=1,1,0))</f>
        <v/>
      </c>
    </row>
    <row r="2536">
      <c r="P2536" s="6">
        <f>IF($C2536="","",IF(COUNTIF($C$2:$C2536,$C2536)=1,1,0))</f>
        <v/>
      </c>
    </row>
    <row r="2537">
      <c r="P2537" s="6">
        <f>IF($C2537="","",IF(COUNTIF($C$2:$C2537,$C2537)=1,1,0))</f>
        <v/>
      </c>
    </row>
    <row r="2538">
      <c r="P2538" s="6">
        <f>IF($C2538="","",IF(COUNTIF($C$2:$C2538,$C2538)=1,1,0))</f>
        <v/>
      </c>
    </row>
    <row r="2539">
      <c r="P2539" s="6">
        <f>IF($C2539="","",IF(COUNTIF($C$2:$C2539,$C2539)=1,1,0))</f>
        <v/>
      </c>
    </row>
    <row r="2540">
      <c r="P2540" s="6">
        <f>IF($C2540="","",IF(COUNTIF($C$2:$C2540,$C2540)=1,1,0))</f>
        <v/>
      </c>
    </row>
    <row r="2541">
      <c r="P2541" s="6">
        <f>IF($C2541="","",IF(COUNTIF($C$2:$C2541,$C2541)=1,1,0))</f>
        <v/>
      </c>
    </row>
    <row r="2542">
      <c r="P2542" s="6">
        <f>IF($C2542="","",IF(COUNTIF($C$2:$C2542,$C2542)=1,1,0))</f>
        <v/>
      </c>
    </row>
    <row r="2543">
      <c r="P2543" s="6">
        <f>IF($C2543="","",IF(COUNTIF($C$2:$C2543,$C2543)=1,1,0))</f>
        <v/>
      </c>
    </row>
    <row r="2544">
      <c r="P2544" s="6">
        <f>IF($C2544="","",IF(COUNTIF($C$2:$C2544,$C2544)=1,1,0))</f>
        <v/>
      </c>
    </row>
    <row r="2545">
      <c r="P2545" s="6">
        <f>IF($C2545="","",IF(COUNTIF($C$2:$C2545,$C2545)=1,1,0))</f>
        <v/>
      </c>
    </row>
    <row r="2546">
      <c r="P2546" s="6">
        <f>IF($C2546="","",IF(COUNTIF($C$2:$C2546,$C2546)=1,1,0))</f>
        <v/>
      </c>
    </row>
    <row r="2547">
      <c r="P2547" s="6">
        <f>IF($C2547="","",IF(COUNTIF($C$2:$C2547,$C2547)=1,1,0))</f>
        <v/>
      </c>
    </row>
    <row r="2548">
      <c r="P2548" s="6">
        <f>IF($C2548="","",IF(COUNTIF($C$2:$C2548,$C2548)=1,1,0))</f>
        <v/>
      </c>
    </row>
    <row r="2549">
      <c r="P2549" s="6">
        <f>IF($C2549="","",IF(COUNTIF($C$2:$C2549,$C2549)=1,1,0))</f>
        <v/>
      </c>
    </row>
    <row r="2550">
      <c r="P2550" s="6">
        <f>IF($C2550="","",IF(COUNTIF($C$2:$C2550,$C2550)=1,1,0))</f>
        <v/>
      </c>
    </row>
    <row r="2551">
      <c r="P2551" s="6">
        <f>IF($C2551="","",IF(COUNTIF($C$2:$C2551,$C2551)=1,1,0))</f>
        <v/>
      </c>
    </row>
    <row r="2552">
      <c r="P2552" s="6">
        <f>IF($C2552="","",IF(COUNTIF($C$2:$C2552,$C2552)=1,1,0))</f>
        <v/>
      </c>
    </row>
    <row r="2553">
      <c r="P2553" s="6">
        <f>IF($C2553="","",IF(COUNTIF($C$2:$C2553,$C2553)=1,1,0))</f>
        <v/>
      </c>
    </row>
    <row r="2554">
      <c r="P2554" s="6">
        <f>IF($C2554="","",IF(COUNTIF($C$2:$C2554,$C2554)=1,1,0))</f>
        <v/>
      </c>
    </row>
    <row r="2555">
      <c r="P2555" s="6">
        <f>IF($C2555="","",IF(COUNTIF($C$2:$C2555,$C2555)=1,1,0))</f>
        <v/>
      </c>
    </row>
    <row r="2556">
      <c r="P2556" s="6">
        <f>IF($C2556="","",IF(COUNTIF($C$2:$C2556,$C2556)=1,1,0))</f>
        <v/>
      </c>
    </row>
    <row r="2557">
      <c r="P2557" s="6">
        <f>IF($C2557="","",IF(COUNTIF($C$2:$C2557,$C2557)=1,1,0))</f>
        <v/>
      </c>
    </row>
    <row r="2558">
      <c r="P2558" s="6">
        <f>IF($C2558="","",IF(COUNTIF($C$2:$C2558,$C2558)=1,1,0))</f>
        <v/>
      </c>
    </row>
    <row r="2559">
      <c r="P2559" s="6">
        <f>IF($C2559="","",IF(COUNTIF($C$2:$C2559,$C2559)=1,1,0))</f>
        <v/>
      </c>
    </row>
    <row r="2560">
      <c r="P2560" s="6">
        <f>IF($C2560="","",IF(COUNTIF($C$2:$C2560,$C2560)=1,1,0))</f>
        <v/>
      </c>
    </row>
    <row r="2561">
      <c r="P2561" s="6">
        <f>IF($C2561="","",IF(COUNTIF($C$2:$C2561,$C2561)=1,1,0))</f>
        <v/>
      </c>
    </row>
    <row r="2562">
      <c r="P2562" s="6">
        <f>IF($C2562="","",IF(COUNTIF($C$2:$C2562,$C2562)=1,1,0))</f>
        <v/>
      </c>
    </row>
    <row r="2563">
      <c r="P2563" s="6">
        <f>IF($C2563="","",IF(COUNTIF($C$2:$C2563,$C2563)=1,1,0))</f>
        <v/>
      </c>
    </row>
    <row r="2564">
      <c r="P2564" s="6">
        <f>IF($C2564="","",IF(COUNTIF($C$2:$C2564,$C2564)=1,1,0))</f>
        <v/>
      </c>
    </row>
    <row r="2565">
      <c r="P2565" s="6">
        <f>IF($C2565="","",IF(COUNTIF($C$2:$C2565,$C2565)=1,1,0))</f>
        <v/>
      </c>
    </row>
    <row r="2566">
      <c r="P2566" s="6">
        <f>IF($C2566="","",IF(COUNTIF($C$2:$C2566,$C2566)=1,1,0))</f>
        <v/>
      </c>
    </row>
    <row r="2567">
      <c r="P2567" s="6">
        <f>IF($C2567="","",IF(COUNTIF($C$2:$C2567,$C2567)=1,1,0))</f>
        <v/>
      </c>
    </row>
    <row r="2568">
      <c r="P2568" s="6">
        <f>IF($C2568="","",IF(COUNTIF($C$2:$C2568,$C2568)=1,1,0))</f>
        <v/>
      </c>
    </row>
    <row r="2569">
      <c r="P2569" s="6">
        <f>IF($C2569="","",IF(COUNTIF($C$2:$C2569,$C2569)=1,1,0))</f>
        <v/>
      </c>
    </row>
    <row r="2570">
      <c r="P2570" s="6">
        <f>IF($C2570="","",IF(COUNTIF($C$2:$C2570,$C2570)=1,1,0))</f>
        <v/>
      </c>
    </row>
    <row r="2571">
      <c r="P2571" s="6">
        <f>IF($C2571="","",IF(COUNTIF($C$2:$C2571,$C2571)=1,1,0))</f>
        <v/>
      </c>
    </row>
    <row r="2572">
      <c r="P2572" s="6">
        <f>IF($C2572="","",IF(COUNTIF($C$2:$C2572,$C2572)=1,1,0))</f>
        <v/>
      </c>
    </row>
    <row r="2573">
      <c r="P2573" s="6">
        <f>IF($C2573="","",IF(COUNTIF($C$2:$C2573,$C2573)=1,1,0))</f>
        <v/>
      </c>
    </row>
    <row r="2574">
      <c r="P2574" s="6">
        <f>IF($C2574="","",IF(COUNTIF($C$2:$C2574,$C2574)=1,1,0))</f>
        <v/>
      </c>
    </row>
    <row r="2575">
      <c r="P2575" s="6">
        <f>IF($C2575="","",IF(COUNTIF($C$2:$C2575,$C2575)=1,1,0))</f>
        <v/>
      </c>
    </row>
    <row r="2576">
      <c r="P2576" s="6">
        <f>IF($C2576="","",IF(COUNTIF($C$2:$C2576,$C2576)=1,1,0))</f>
        <v/>
      </c>
    </row>
    <row r="2577">
      <c r="P2577" s="6">
        <f>IF($C2577="","",IF(COUNTIF($C$2:$C2577,$C2577)=1,1,0))</f>
        <v/>
      </c>
    </row>
    <row r="2578">
      <c r="P2578" s="6">
        <f>IF($C2578="","",IF(COUNTIF($C$2:$C2578,$C2578)=1,1,0))</f>
        <v/>
      </c>
    </row>
    <row r="2579">
      <c r="P2579" s="6">
        <f>IF($C2579="","",IF(COUNTIF($C$2:$C2579,$C2579)=1,1,0))</f>
        <v/>
      </c>
    </row>
    <row r="2580">
      <c r="P2580" s="6">
        <f>IF($C2580="","",IF(COUNTIF($C$2:$C2580,$C2580)=1,1,0))</f>
        <v/>
      </c>
    </row>
    <row r="2581">
      <c r="P2581" s="6">
        <f>IF($C2581="","",IF(COUNTIF($C$2:$C2581,$C2581)=1,1,0))</f>
        <v/>
      </c>
    </row>
    <row r="2582">
      <c r="P2582" s="6">
        <f>IF($C2582="","",IF(COUNTIF($C$2:$C2582,$C2582)=1,1,0))</f>
        <v/>
      </c>
    </row>
    <row r="2583">
      <c r="P2583" s="6">
        <f>IF($C2583="","",IF(COUNTIF($C$2:$C2583,$C2583)=1,1,0))</f>
        <v/>
      </c>
    </row>
    <row r="2584">
      <c r="P2584" s="6">
        <f>IF($C2584="","",IF(COUNTIF($C$2:$C2584,$C2584)=1,1,0))</f>
        <v/>
      </c>
    </row>
    <row r="2585">
      <c r="P2585" s="6">
        <f>IF($C2585="","",IF(COUNTIF($C$2:$C2585,$C2585)=1,1,0))</f>
        <v/>
      </c>
    </row>
    <row r="2586">
      <c r="P2586" s="6">
        <f>IF($C2586="","",IF(COUNTIF($C$2:$C2586,$C2586)=1,1,0))</f>
        <v/>
      </c>
    </row>
    <row r="2587">
      <c r="P2587" s="6">
        <f>IF($C2587="","",IF(COUNTIF($C$2:$C2587,$C2587)=1,1,0))</f>
        <v/>
      </c>
    </row>
    <row r="2588">
      <c r="P2588" s="6">
        <f>IF($C2588="","",IF(COUNTIF($C$2:$C2588,$C2588)=1,1,0))</f>
        <v/>
      </c>
    </row>
    <row r="2589">
      <c r="P2589" s="6">
        <f>IF($C2589="","",IF(COUNTIF($C$2:$C2589,$C2589)=1,1,0))</f>
        <v/>
      </c>
    </row>
    <row r="2590">
      <c r="P2590" s="6">
        <f>IF($C2590="","",IF(COUNTIF($C$2:$C2590,$C2590)=1,1,0))</f>
        <v/>
      </c>
    </row>
    <row r="2591">
      <c r="P2591" s="6">
        <f>IF($C2591="","",IF(COUNTIF($C$2:$C2591,$C2591)=1,1,0))</f>
        <v/>
      </c>
    </row>
    <row r="2592">
      <c r="P2592" s="6">
        <f>IF($C2592="","",IF(COUNTIF($C$2:$C2592,$C2592)=1,1,0))</f>
        <v/>
      </c>
    </row>
    <row r="2593">
      <c r="P2593" s="6">
        <f>IF($C2593="","",IF(COUNTIF($C$2:$C2593,$C2593)=1,1,0))</f>
        <v/>
      </c>
    </row>
    <row r="2594">
      <c r="P2594" s="6">
        <f>IF($C2594="","",IF(COUNTIF($C$2:$C2594,$C2594)=1,1,0))</f>
        <v/>
      </c>
    </row>
    <row r="2595">
      <c r="P2595" s="6">
        <f>IF($C2595="","",IF(COUNTIF($C$2:$C2595,$C2595)=1,1,0))</f>
        <v/>
      </c>
    </row>
    <row r="2596">
      <c r="P2596" s="6">
        <f>IF($C2596="","",IF(COUNTIF($C$2:$C2596,$C2596)=1,1,0))</f>
        <v/>
      </c>
    </row>
    <row r="2597">
      <c r="P2597" s="6">
        <f>IF($C2597="","",IF(COUNTIF($C$2:$C2597,$C2597)=1,1,0))</f>
        <v/>
      </c>
    </row>
    <row r="2598">
      <c r="P2598" s="6">
        <f>IF($C2598="","",IF(COUNTIF($C$2:$C2598,$C2598)=1,1,0))</f>
        <v/>
      </c>
    </row>
    <row r="2599">
      <c r="P2599" s="6">
        <f>IF($C2599="","",IF(COUNTIF($C$2:$C2599,$C2599)=1,1,0))</f>
        <v/>
      </c>
    </row>
    <row r="2600">
      <c r="P2600" s="6">
        <f>IF($C2600="","",IF(COUNTIF($C$2:$C2600,$C2600)=1,1,0))</f>
        <v/>
      </c>
    </row>
    <row r="2601">
      <c r="P2601" s="6">
        <f>IF($C2601="","",IF(COUNTIF($C$2:$C2601,$C2601)=1,1,0))</f>
        <v/>
      </c>
    </row>
    <row r="2602">
      <c r="P2602" s="6">
        <f>IF($C2602="","",IF(COUNTIF($C$2:$C2602,$C2602)=1,1,0))</f>
        <v/>
      </c>
    </row>
    <row r="2603">
      <c r="P2603" s="6">
        <f>IF($C2603="","",IF(COUNTIF($C$2:$C2603,$C2603)=1,1,0))</f>
        <v/>
      </c>
    </row>
    <row r="2604">
      <c r="P2604" s="6">
        <f>IF($C2604="","",IF(COUNTIF($C$2:$C2604,$C2604)=1,1,0))</f>
        <v/>
      </c>
    </row>
    <row r="2605">
      <c r="P2605" s="6">
        <f>IF($C2605="","",IF(COUNTIF($C$2:$C2605,$C2605)=1,1,0))</f>
        <v/>
      </c>
    </row>
    <row r="2606">
      <c r="P2606" s="6">
        <f>IF($C2606="","",IF(COUNTIF($C$2:$C2606,$C2606)=1,1,0))</f>
        <v/>
      </c>
    </row>
    <row r="2607">
      <c r="P2607" s="6">
        <f>IF($C2607="","",IF(COUNTIF($C$2:$C2607,$C2607)=1,1,0))</f>
        <v/>
      </c>
    </row>
    <row r="2608">
      <c r="P2608" s="6">
        <f>IF($C2608="","",IF(COUNTIF($C$2:$C2608,$C2608)=1,1,0))</f>
        <v/>
      </c>
    </row>
    <row r="2609">
      <c r="P2609" s="6">
        <f>IF($C2609="","",IF(COUNTIF($C$2:$C2609,$C2609)=1,1,0))</f>
        <v/>
      </c>
    </row>
    <row r="2610">
      <c r="P2610" s="6">
        <f>IF($C2610="","",IF(COUNTIF($C$2:$C2610,$C2610)=1,1,0))</f>
        <v/>
      </c>
    </row>
    <row r="2611">
      <c r="P2611" s="6">
        <f>IF($C2611="","",IF(COUNTIF($C$2:$C2611,$C2611)=1,1,0))</f>
        <v/>
      </c>
    </row>
    <row r="2612">
      <c r="P2612" s="6">
        <f>IF($C2612="","",IF(COUNTIF($C$2:$C2612,$C2612)=1,1,0))</f>
        <v/>
      </c>
    </row>
    <row r="2613">
      <c r="P2613" s="6">
        <f>IF($C2613="","",IF(COUNTIF($C$2:$C2613,$C2613)=1,1,0))</f>
        <v/>
      </c>
    </row>
    <row r="2614">
      <c r="P2614" s="6">
        <f>IF($C2614="","",IF(COUNTIF($C$2:$C2614,$C2614)=1,1,0))</f>
        <v/>
      </c>
    </row>
    <row r="2615">
      <c r="P2615" s="6">
        <f>IF($C2615="","",IF(COUNTIF($C$2:$C2615,$C2615)=1,1,0))</f>
        <v/>
      </c>
    </row>
    <row r="2616">
      <c r="P2616" s="6">
        <f>IF($C2616="","",IF(COUNTIF($C$2:$C2616,$C2616)=1,1,0))</f>
        <v/>
      </c>
    </row>
    <row r="2617">
      <c r="P2617" s="6">
        <f>IF($C2617="","",IF(COUNTIF($C$2:$C2617,$C2617)=1,1,0))</f>
        <v/>
      </c>
    </row>
    <row r="2618">
      <c r="P2618" s="6">
        <f>IF($C2618="","",IF(COUNTIF($C$2:$C2618,$C2618)=1,1,0))</f>
        <v/>
      </c>
    </row>
    <row r="2619">
      <c r="P2619" s="6">
        <f>IF($C2619="","",IF(COUNTIF($C$2:$C2619,$C2619)=1,1,0))</f>
        <v/>
      </c>
    </row>
    <row r="2620">
      <c r="P2620" s="6">
        <f>IF($C2620="","",IF(COUNTIF($C$2:$C2620,$C2620)=1,1,0))</f>
        <v/>
      </c>
    </row>
    <row r="2621">
      <c r="P2621" s="6">
        <f>IF($C2621="","",IF(COUNTIF($C$2:$C2621,$C2621)=1,1,0))</f>
        <v/>
      </c>
    </row>
    <row r="2622">
      <c r="P2622" s="6">
        <f>IF($C2622="","",IF(COUNTIF($C$2:$C2622,$C2622)=1,1,0))</f>
        <v/>
      </c>
    </row>
    <row r="2623">
      <c r="P2623" s="6">
        <f>IF($C2623="","",IF(COUNTIF($C$2:$C2623,$C2623)=1,1,0))</f>
        <v/>
      </c>
    </row>
    <row r="2624">
      <c r="P2624" s="6">
        <f>IF($C2624="","",IF(COUNTIF($C$2:$C2624,$C2624)=1,1,0))</f>
        <v/>
      </c>
    </row>
    <row r="2625">
      <c r="P2625" s="6">
        <f>IF($C2625="","",IF(COUNTIF($C$2:$C2625,$C2625)=1,1,0))</f>
        <v/>
      </c>
    </row>
    <row r="2626">
      <c r="P2626" s="6">
        <f>IF($C2626="","",IF(COUNTIF($C$2:$C2626,$C2626)=1,1,0))</f>
        <v/>
      </c>
    </row>
    <row r="2627">
      <c r="P2627" s="6">
        <f>IF($C2627="","",IF(COUNTIF($C$2:$C2627,$C2627)=1,1,0))</f>
        <v/>
      </c>
    </row>
    <row r="2628">
      <c r="P2628" s="6">
        <f>IF($C2628="","",IF(COUNTIF($C$2:$C2628,$C2628)=1,1,0))</f>
        <v/>
      </c>
    </row>
    <row r="2629">
      <c r="P2629" s="6">
        <f>IF($C2629="","",IF(COUNTIF($C$2:$C2629,$C2629)=1,1,0))</f>
        <v/>
      </c>
    </row>
    <row r="2630">
      <c r="P2630" s="6">
        <f>IF($C2630="","",IF(COUNTIF($C$2:$C2630,$C2630)=1,1,0))</f>
        <v/>
      </c>
    </row>
    <row r="2631">
      <c r="P2631" s="6">
        <f>IF($C2631="","",IF(COUNTIF($C$2:$C2631,$C2631)=1,1,0))</f>
        <v/>
      </c>
    </row>
    <row r="2632">
      <c r="P2632" s="6">
        <f>IF($C2632="","",IF(COUNTIF($C$2:$C2632,$C2632)=1,1,0))</f>
        <v/>
      </c>
    </row>
    <row r="2633">
      <c r="P2633" s="6">
        <f>IF($C2633="","",IF(COUNTIF($C$2:$C2633,$C2633)=1,1,0))</f>
        <v/>
      </c>
    </row>
    <row r="2634">
      <c r="P2634" s="6">
        <f>IF($C2634="","",IF(COUNTIF($C$2:$C2634,$C2634)=1,1,0))</f>
        <v/>
      </c>
    </row>
    <row r="2635">
      <c r="P2635" s="6">
        <f>IF($C2635="","",IF(COUNTIF($C$2:$C2635,$C2635)=1,1,0))</f>
        <v/>
      </c>
    </row>
    <row r="2636">
      <c r="P2636" s="6">
        <f>IF($C2636="","",IF(COUNTIF($C$2:$C2636,$C2636)=1,1,0))</f>
        <v/>
      </c>
    </row>
    <row r="2637">
      <c r="P2637" s="6">
        <f>IF($C2637="","",IF(COUNTIF($C$2:$C2637,$C2637)=1,1,0))</f>
        <v/>
      </c>
    </row>
    <row r="2638">
      <c r="P2638" s="6">
        <f>IF($C2638="","",IF(COUNTIF($C$2:$C2638,$C2638)=1,1,0))</f>
        <v/>
      </c>
    </row>
    <row r="2639">
      <c r="P2639" s="6">
        <f>IF($C2639="","",IF(COUNTIF($C$2:$C2639,$C2639)=1,1,0))</f>
        <v/>
      </c>
    </row>
    <row r="2640">
      <c r="P2640" s="6">
        <f>IF($C2640="","",IF(COUNTIF($C$2:$C2640,$C2640)=1,1,0))</f>
        <v/>
      </c>
    </row>
    <row r="2641">
      <c r="P2641" s="6">
        <f>IF($C2641="","",IF(COUNTIF($C$2:$C2641,$C2641)=1,1,0))</f>
        <v/>
      </c>
    </row>
    <row r="2642">
      <c r="P2642" s="6">
        <f>IF($C2642="","",IF(COUNTIF($C$2:$C2642,$C2642)=1,1,0))</f>
        <v/>
      </c>
    </row>
    <row r="2643">
      <c r="P2643" s="6">
        <f>IF($C2643="","",IF(COUNTIF($C$2:$C2643,$C2643)=1,1,0))</f>
        <v/>
      </c>
    </row>
    <row r="2644">
      <c r="P2644" s="6">
        <f>IF($C2644="","",IF(COUNTIF($C$2:$C2644,$C2644)=1,1,0))</f>
        <v/>
      </c>
    </row>
    <row r="2645">
      <c r="P2645" s="6">
        <f>IF($C2645="","",IF(COUNTIF($C$2:$C2645,$C2645)=1,1,0))</f>
        <v/>
      </c>
    </row>
    <row r="2646">
      <c r="P2646" s="6">
        <f>IF($C2646="","",IF(COUNTIF($C$2:$C2646,$C2646)=1,1,0))</f>
        <v/>
      </c>
    </row>
    <row r="2647">
      <c r="P2647" s="6">
        <f>IF($C2647="","",IF(COUNTIF($C$2:$C2647,$C2647)=1,1,0))</f>
        <v/>
      </c>
    </row>
    <row r="2648">
      <c r="P2648" s="6">
        <f>IF($C2648="","",IF(COUNTIF($C$2:$C2648,$C2648)=1,1,0))</f>
        <v/>
      </c>
    </row>
    <row r="2649">
      <c r="P2649" s="6">
        <f>IF($C2649="","",IF(COUNTIF($C$2:$C2649,$C2649)=1,1,0))</f>
        <v/>
      </c>
    </row>
    <row r="2650">
      <c r="P2650" s="6">
        <f>IF($C2650="","",IF(COUNTIF($C$2:$C2650,$C2650)=1,1,0))</f>
        <v/>
      </c>
    </row>
    <row r="2651">
      <c r="P2651" s="6">
        <f>IF($C2651="","",IF(COUNTIF($C$2:$C2651,$C2651)=1,1,0))</f>
        <v/>
      </c>
    </row>
    <row r="2652">
      <c r="P2652" s="6">
        <f>IF($C2652="","",IF(COUNTIF($C$2:$C2652,$C2652)=1,1,0))</f>
        <v/>
      </c>
    </row>
    <row r="2653">
      <c r="P2653" s="6">
        <f>IF($C2653="","",IF(COUNTIF($C$2:$C2653,$C2653)=1,1,0))</f>
        <v/>
      </c>
    </row>
    <row r="2654">
      <c r="P2654" s="6">
        <f>IF($C2654="","",IF(COUNTIF($C$2:$C2654,$C2654)=1,1,0))</f>
        <v/>
      </c>
    </row>
    <row r="2655">
      <c r="P2655" s="6">
        <f>IF($C2655="","",IF(COUNTIF($C$2:$C2655,$C2655)=1,1,0))</f>
        <v/>
      </c>
    </row>
    <row r="2656">
      <c r="P2656" s="6">
        <f>IF($C2656="","",IF(COUNTIF($C$2:$C2656,$C2656)=1,1,0))</f>
        <v/>
      </c>
    </row>
    <row r="2657">
      <c r="P2657" s="6">
        <f>IF($C2657="","",IF(COUNTIF($C$2:$C2657,$C2657)=1,1,0))</f>
        <v/>
      </c>
    </row>
    <row r="2658">
      <c r="P2658" s="6">
        <f>IF($C2658="","",IF(COUNTIF($C$2:$C2658,$C2658)=1,1,0))</f>
        <v/>
      </c>
    </row>
    <row r="2659">
      <c r="P2659" s="6">
        <f>IF($C2659="","",IF(COUNTIF($C$2:$C2659,$C2659)=1,1,0))</f>
        <v/>
      </c>
    </row>
    <row r="2660">
      <c r="P2660" s="6">
        <f>IF($C2660="","",IF(COUNTIF($C$2:$C2660,$C2660)=1,1,0))</f>
        <v/>
      </c>
    </row>
    <row r="2661">
      <c r="P2661" s="6">
        <f>IF($C2661="","",IF(COUNTIF($C$2:$C2661,$C2661)=1,1,0))</f>
        <v/>
      </c>
    </row>
    <row r="2662">
      <c r="P2662" s="6">
        <f>IF($C2662="","",IF(COUNTIF($C$2:$C2662,$C2662)=1,1,0))</f>
        <v/>
      </c>
    </row>
    <row r="2663">
      <c r="P2663" s="6">
        <f>IF($C2663="","",IF(COUNTIF($C$2:$C2663,$C2663)=1,1,0))</f>
        <v/>
      </c>
    </row>
    <row r="2664">
      <c r="P2664" s="6">
        <f>IF($C2664="","",IF(COUNTIF($C$2:$C2664,$C2664)=1,1,0))</f>
        <v/>
      </c>
    </row>
    <row r="2665">
      <c r="P2665" s="6">
        <f>IF($C2665="","",IF(COUNTIF($C$2:$C2665,$C2665)=1,1,0))</f>
        <v/>
      </c>
    </row>
    <row r="2666">
      <c r="P2666" s="6">
        <f>IF($C2666="","",IF(COUNTIF($C$2:$C2666,$C2666)=1,1,0))</f>
        <v/>
      </c>
    </row>
    <row r="2667">
      <c r="P2667" s="6">
        <f>IF($C2667="","",IF(COUNTIF($C$2:$C2667,$C2667)=1,1,0))</f>
        <v/>
      </c>
    </row>
    <row r="2668">
      <c r="P2668" s="6">
        <f>IF($C2668="","",IF(COUNTIF($C$2:$C2668,$C2668)=1,1,0))</f>
        <v/>
      </c>
    </row>
    <row r="2669">
      <c r="P2669" s="6">
        <f>IF($C2669="","",IF(COUNTIF($C$2:$C2669,$C2669)=1,1,0))</f>
        <v/>
      </c>
    </row>
    <row r="2670">
      <c r="P2670" s="6">
        <f>IF($C2670="","",IF(COUNTIF($C$2:$C2670,$C2670)=1,1,0))</f>
        <v/>
      </c>
    </row>
    <row r="2671">
      <c r="P2671" s="6">
        <f>IF($C2671="","",IF(COUNTIF($C$2:$C2671,$C2671)=1,1,0))</f>
        <v/>
      </c>
    </row>
    <row r="2672">
      <c r="P2672" s="6">
        <f>IF($C2672="","",IF(COUNTIF($C$2:$C2672,$C2672)=1,1,0))</f>
        <v/>
      </c>
    </row>
    <row r="2673">
      <c r="P2673" s="6">
        <f>IF($C2673="","",IF(COUNTIF($C$2:$C2673,$C2673)=1,1,0))</f>
        <v/>
      </c>
    </row>
    <row r="2674">
      <c r="P2674" s="6">
        <f>IF($C2674="","",IF(COUNTIF($C$2:$C2674,$C2674)=1,1,0))</f>
        <v/>
      </c>
    </row>
    <row r="2675">
      <c r="P2675" s="6">
        <f>IF($C2675="","",IF(COUNTIF($C$2:$C2675,$C2675)=1,1,0))</f>
        <v/>
      </c>
    </row>
    <row r="2676">
      <c r="P2676" s="6">
        <f>IF($C2676="","",IF(COUNTIF($C$2:$C2676,$C2676)=1,1,0))</f>
        <v/>
      </c>
    </row>
    <row r="2677">
      <c r="P2677" s="6">
        <f>IF($C2677="","",IF(COUNTIF($C$2:$C2677,$C2677)=1,1,0))</f>
        <v/>
      </c>
    </row>
    <row r="2678">
      <c r="P2678" s="6">
        <f>IF($C2678="","",IF(COUNTIF($C$2:$C2678,$C2678)=1,1,0))</f>
        <v/>
      </c>
    </row>
    <row r="2679">
      <c r="P2679" s="6">
        <f>IF($C2679="","",IF(COUNTIF($C$2:$C2679,$C2679)=1,1,0))</f>
        <v/>
      </c>
    </row>
    <row r="2680">
      <c r="P2680" s="6">
        <f>IF($C2680="","",IF(COUNTIF($C$2:$C2680,$C2680)=1,1,0))</f>
        <v/>
      </c>
    </row>
    <row r="2681">
      <c r="P2681" s="6">
        <f>IF($C2681="","",IF(COUNTIF($C$2:$C2681,$C2681)=1,1,0))</f>
        <v/>
      </c>
    </row>
    <row r="2682">
      <c r="P2682" s="6">
        <f>IF($C2682="","",IF(COUNTIF($C$2:$C2682,$C2682)=1,1,0))</f>
        <v/>
      </c>
    </row>
    <row r="2683">
      <c r="P2683" s="6">
        <f>IF($C2683="","",IF(COUNTIF($C$2:$C2683,$C2683)=1,1,0))</f>
        <v/>
      </c>
    </row>
    <row r="2684">
      <c r="P2684" s="6">
        <f>IF($C2684="","",IF(COUNTIF($C$2:$C2684,$C2684)=1,1,0))</f>
        <v/>
      </c>
    </row>
    <row r="2685">
      <c r="P2685" s="6">
        <f>IF($C2685="","",IF(COUNTIF($C$2:$C2685,$C2685)=1,1,0))</f>
        <v/>
      </c>
    </row>
    <row r="2686">
      <c r="P2686" s="6">
        <f>IF($C2686="","",IF(COUNTIF($C$2:$C2686,$C2686)=1,1,0))</f>
        <v/>
      </c>
    </row>
    <row r="2687">
      <c r="P2687" s="6">
        <f>IF($C2687="","",IF(COUNTIF($C$2:$C2687,$C2687)=1,1,0))</f>
        <v/>
      </c>
    </row>
    <row r="2688">
      <c r="P2688" s="6">
        <f>IF($C2688="","",IF(COUNTIF($C$2:$C2688,$C2688)=1,1,0))</f>
        <v/>
      </c>
    </row>
    <row r="2689">
      <c r="P2689" s="6">
        <f>IF($C2689="","",IF(COUNTIF($C$2:$C2689,$C2689)=1,1,0))</f>
        <v/>
      </c>
    </row>
    <row r="2690">
      <c r="P2690" s="6">
        <f>IF($C2690="","",IF(COUNTIF($C$2:$C2690,$C2690)=1,1,0))</f>
        <v/>
      </c>
    </row>
    <row r="2691">
      <c r="P2691" s="6">
        <f>IF($C2691="","",IF(COUNTIF($C$2:$C2691,$C2691)=1,1,0))</f>
        <v/>
      </c>
    </row>
    <row r="2692">
      <c r="P2692" s="6">
        <f>IF($C2692="","",IF(COUNTIF($C$2:$C2692,$C2692)=1,1,0))</f>
        <v/>
      </c>
    </row>
    <row r="2693">
      <c r="P2693" s="6">
        <f>IF($C2693="","",IF(COUNTIF($C$2:$C2693,$C2693)=1,1,0))</f>
        <v/>
      </c>
    </row>
    <row r="2694">
      <c r="P2694" s="6">
        <f>IF($C2694="","",IF(COUNTIF($C$2:$C2694,$C2694)=1,1,0))</f>
        <v/>
      </c>
    </row>
    <row r="2695">
      <c r="P2695" s="6">
        <f>IF($C2695="","",IF(COUNTIF($C$2:$C2695,$C2695)=1,1,0))</f>
        <v/>
      </c>
    </row>
    <row r="2696">
      <c r="P2696" s="6">
        <f>IF($C2696="","",IF(COUNTIF($C$2:$C2696,$C2696)=1,1,0))</f>
        <v/>
      </c>
    </row>
    <row r="2697">
      <c r="P2697" s="6">
        <f>IF($C2697="","",IF(COUNTIF($C$2:$C2697,$C2697)=1,1,0))</f>
        <v/>
      </c>
    </row>
    <row r="2698">
      <c r="P2698" s="6">
        <f>IF($C2698="","",IF(COUNTIF($C$2:$C2698,$C2698)=1,1,0))</f>
        <v/>
      </c>
    </row>
    <row r="2699">
      <c r="P2699" s="6">
        <f>IF($C2699="","",IF(COUNTIF($C$2:$C2699,$C2699)=1,1,0))</f>
        <v/>
      </c>
    </row>
    <row r="2700">
      <c r="P2700" s="6">
        <f>IF($C2700="","",IF(COUNTIF($C$2:$C2700,$C2700)=1,1,0))</f>
        <v/>
      </c>
    </row>
    <row r="2701">
      <c r="P2701" s="6">
        <f>IF($C2701="","",IF(COUNTIF($C$2:$C2701,$C2701)=1,1,0))</f>
        <v/>
      </c>
    </row>
    <row r="2702">
      <c r="P2702" s="6">
        <f>IF($C2702="","",IF(COUNTIF($C$2:$C2702,$C2702)=1,1,0))</f>
        <v/>
      </c>
    </row>
    <row r="2703">
      <c r="P2703" s="6">
        <f>IF($C2703="","",IF(COUNTIF($C$2:$C2703,$C2703)=1,1,0))</f>
        <v/>
      </c>
    </row>
    <row r="2704">
      <c r="P2704" s="6">
        <f>IF($C2704="","",IF(COUNTIF($C$2:$C2704,$C2704)=1,1,0))</f>
        <v/>
      </c>
    </row>
    <row r="2705">
      <c r="P2705" s="6">
        <f>IF($C2705="","",IF(COUNTIF($C$2:$C2705,$C2705)=1,1,0))</f>
        <v/>
      </c>
    </row>
    <row r="2706">
      <c r="P2706" s="6">
        <f>IF($C2706="","",IF(COUNTIF($C$2:$C2706,$C2706)=1,1,0))</f>
        <v/>
      </c>
    </row>
    <row r="2707">
      <c r="P2707" s="6">
        <f>IF($C2707="","",IF(COUNTIF($C$2:$C2707,$C2707)=1,1,0))</f>
        <v/>
      </c>
    </row>
    <row r="2708">
      <c r="P2708" s="6">
        <f>IF($C2708="","",IF(COUNTIF($C$2:$C2708,$C2708)=1,1,0))</f>
        <v/>
      </c>
    </row>
    <row r="2709">
      <c r="P2709" s="6">
        <f>IF($C2709="","",IF(COUNTIF($C$2:$C2709,$C2709)=1,1,0))</f>
        <v/>
      </c>
    </row>
    <row r="2710">
      <c r="P2710" s="6">
        <f>IF($C2710="","",IF(COUNTIF($C$2:$C2710,$C2710)=1,1,0))</f>
        <v/>
      </c>
    </row>
    <row r="2711">
      <c r="P2711" s="6">
        <f>IF($C2711="","",IF(COUNTIF($C$2:$C2711,$C2711)=1,1,0))</f>
        <v/>
      </c>
    </row>
    <row r="2712">
      <c r="P2712" s="6">
        <f>IF($C2712="","",IF(COUNTIF($C$2:$C2712,$C2712)=1,1,0))</f>
        <v/>
      </c>
    </row>
    <row r="2713">
      <c r="P2713" s="6">
        <f>IF($C2713="","",IF(COUNTIF($C$2:$C2713,$C2713)=1,1,0))</f>
        <v/>
      </c>
    </row>
    <row r="2714">
      <c r="P2714" s="6">
        <f>IF($C2714="","",IF(COUNTIF($C$2:$C2714,$C2714)=1,1,0))</f>
        <v/>
      </c>
    </row>
    <row r="2715">
      <c r="P2715" s="6">
        <f>IF($C2715="","",IF(COUNTIF($C$2:$C2715,$C2715)=1,1,0))</f>
        <v/>
      </c>
    </row>
    <row r="2716">
      <c r="P2716" s="6">
        <f>IF($C2716="","",IF(COUNTIF($C$2:$C2716,$C2716)=1,1,0))</f>
        <v/>
      </c>
    </row>
    <row r="2717">
      <c r="P2717" s="6">
        <f>IF($C2717="","",IF(COUNTIF($C$2:$C2717,$C2717)=1,1,0))</f>
        <v/>
      </c>
    </row>
    <row r="2718">
      <c r="P2718" s="6">
        <f>IF($C2718="","",IF(COUNTIF($C$2:$C2718,$C2718)=1,1,0))</f>
        <v/>
      </c>
    </row>
    <row r="2719">
      <c r="P2719" s="6">
        <f>IF($C2719="","",IF(COUNTIF($C$2:$C2719,$C2719)=1,1,0))</f>
        <v/>
      </c>
    </row>
    <row r="2720">
      <c r="P2720" s="6">
        <f>IF($C2720="","",IF(COUNTIF($C$2:$C2720,$C2720)=1,1,0))</f>
        <v/>
      </c>
    </row>
    <row r="2721">
      <c r="P2721" s="6">
        <f>IF($C2721="","",IF(COUNTIF($C$2:$C2721,$C2721)=1,1,0))</f>
        <v/>
      </c>
    </row>
    <row r="2722">
      <c r="P2722" s="6">
        <f>IF($C2722="","",IF(COUNTIF($C$2:$C2722,$C2722)=1,1,0))</f>
        <v/>
      </c>
    </row>
    <row r="2723">
      <c r="P2723" s="6">
        <f>IF($C2723="","",IF(COUNTIF($C$2:$C2723,$C2723)=1,1,0))</f>
        <v/>
      </c>
    </row>
    <row r="2724">
      <c r="P2724" s="6">
        <f>IF($C2724="","",IF(COUNTIF($C$2:$C2724,$C2724)=1,1,0))</f>
        <v/>
      </c>
    </row>
    <row r="2725">
      <c r="P2725" s="6">
        <f>IF($C2725="","",IF(COUNTIF($C$2:$C2725,$C2725)=1,1,0))</f>
        <v/>
      </c>
    </row>
    <row r="2726">
      <c r="P2726" s="6">
        <f>IF($C2726="","",IF(COUNTIF($C$2:$C2726,$C2726)=1,1,0))</f>
        <v/>
      </c>
    </row>
    <row r="2727">
      <c r="P2727" s="6">
        <f>IF($C2727="","",IF(COUNTIF($C$2:$C2727,$C2727)=1,1,0))</f>
        <v/>
      </c>
    </row>
    <row r="2728">
      <c r="P2728" s="6">
        <f>IF($C2728="","",IF(COUNTIF($C$2:$C2728,$C2728)=1,1,0))</f>
        <v/>
      </c>
    </row>
    <row r="2729">
      <c r="P2729" s="6">
        <f>IF($C2729="","",IF(COUNTIF($C$2:$C2729,$C2729)=1,1,0))</f>
        <v/>
      </c>
    </row>
    <row r="2730">
      <c r="P2730" s="6">
        <f>IF($C2730="","",IF(COUNTIF($C$2:$C2730,$C2730)=1,1,0))</f>
        <v/>
      </c>
    </row>
    <row r="2731">
      <c r="P2731" s="6">
        <f>IF($C2731="","",IF(COUNTIF($C$2:$C2731,$C2731)=1,1,0))</f>
        <v/>
      </c>
    </row>
    <row r="2732">
      <c r="P2732" s="6">
        <f>IF($C2732="","",IF(COUNTIF($C$2:$C2732,$C2732)=1,1,0))</f>
        <v/>
      </c>
    </row>
    <row r="2733">
      <c r="P2733" s="6">
        <f>IF($C2733="","",IF(COUNTIF($C$2:$C2733,$C2733)=1,1,0))</f>
        <v/>
      </c>
    </row>
    <row r="2734">
      <c r="P2734" s="6">
        <f>IF($C2734="","",IF(COUNTIF($C$2:$C2734,$C2734)=1,1,0))</f>
        <v/>
      </c>
    </row>
    <row r="2735">
      <c r="P2735" s="6">
        <f>IF($C2735="","",IF(COUNTIF($C$2:$C2735,$C2735)=1,1,0))</f>
        <v/>
      </c>
    </row>
    <row r="2736">
      <c r="P2736" s="6">
        <f>IF($C2736="","",IF(COUNTIF($C$2:$C2736,$C2736)=1,1,0))</f>
        <v/>
      </c>
    </row>
    <row r="2737">
      <c r="P2737" s="6">
        <f>IF($C2737="","",IF(COUNTIF($C$2:$C2737,$C2737)=1,1,0))</f>
        <v/>
      </c>
    </row>
    <row r="2738">
      <c r="P2738" s="6">
        <f>IF($C2738="","",IF(COUNTIF($C$2:$C2738,$C2738)=1,1,0))</f>
        <v/>
      </c>
    </row>
    <row r="2739">
      <c r="P2739" s="6">
        <f>IF($C2739="","",IF(COUNTIF($C$2:$C2739,$C2739)=1,1,0))</f>
        <v/>
      </c>
    </row>
    <row r="2740">
      <c r="P2740" s="6">
        <f>IF($C2740="","",IF(COUNTIF($C$2:$C2740,$C2740)=1,1,0))</f>
        <v/>
      </c>
    </row>
    <row r="2741">
      <c r="P2741" s="6">
        <f>IF($C2741="","",IF(COUNTIF($C$2:$C2741,$C2741)=1,1,0))</f>
        <v/>
      </c>
    </row>
    <row r="2742">
      <c r="P2742" s="6">
        <f>IF($C2742="","",IF(COUNTIF($C$2:$C2742,$C2742)=1,1,0))</f>
        <v/>
      </c>
    </row>
    <row r="2743">
      <c r="P2743" s="6">
        <f>IF($C2743="","",IF(COUNTIF($C$2:$C2743,$C2743)=1,1,0))</f>
        <v/>
      </c>
    </row>
    <row r="2744">
      <c r="P2744" s="6">
        <f>IF($C2744="","",IF(COUNTIF($C$2:$C2744,$C2744)=1,1,0))</f>
        <v/>
      </c>
    </row>
    <row r="2745">
      <c r="P2745" s="6">
        <f>IF($C2745="","",IF(COUNTIF($C$2:$C2745,$C2745)=1,1,0))</f>
        <v/>
      </c>
    </row>
    <row r="2746">
      <c r="P2746" s="6">
        <f>IF($C2746="","",IF(COUNTIF($C$2:$C2746,$C2746)=1,1,0))</f>
        <v/>
      </c>
    </row>
    <row r="2747">
      <c r="P2747" s="6">
        <f>IF($C2747="","",IF(COUNTIF($C$2:$C2747,$C2747)=1,1,0))</f>
        <v/>
      </c>
    </row>
    <row r="2748">
      <c r="P2748" s="6">
        <f>IF($C2748="","",IF(COUNTIF($C$2:$C2748,$C2748)=1,1,0))</f>
        <v/>
      </c>
    </row>
    <row r="2749">
      <c r="P2749" s="6">
        <f>IF($C2749="","",IF(COUNTIF($C$2:$C2749,$C2749)=1,1,0))</f>
        <v/>
      </c>
    </row>
    <row r="2750">
      <c r="P2750" s="6">
        <f>IF($C2750="","",IF(COUNTIF($C$2:$C2750,$C2750)=1,1,0))</f>
        <v/>
      </c>
    </row>
    <row r="2751">
      <c r="P2751" s="6">
        <f>IF($C2751="","",IF(COUNTIF($C$2:$C2751,$C2751)=1,1,0))</f>
        <v/>
      </c>
    </row>
    <row r="2752">
      <c r="P2752" s="6">
        <f>IF($C2752="","",IF(COUNTIF($C$2:$C2752,$C2752)=1,1,0))</f>
        <v/>
      </c>
    </row>
    <row r="2753">
      <c r="P2753" s="6">
        <f>IF($C2753="","",IF(COUNTIF($C$2:$C2753,$C2753)=1,1,0))</f>
        <v/>
      </c>
    </row>
    <row r="2754">
      <c r="P2754" s="6">
        <f>IF($C2754="","",IF(COUNTIF($C$2:$C2754,$C2754)=1,1,0))</f>
        <v/>
      </c>
    </row>
    <row r="2755">
      <c r="P2755" s="6">
        <f>IF($C2755="","",IF(COUNTIF($C$2:$C2755,$C2755)=1,1,0))</f>
        <v/>
      </c>
    </row>
    <row r="2756">
      <c r="P2756" s="6">
        <f>IF($C2756="","",IF(COUNTIF($C$2:$C2756,$C2756)=1,1,0))</f>
        <v/>
      </c>
    </row>
    <row r="2757">
      <c r="P2757" s="6">
        <f>IF($C2757="","",IF(COUNTIF($C$2:$C2757,$C2757)=1,1,0))</f>
        <v/>
      </c>
    </row>
    <row r="2758">
      <c r="P2758" s="6">
        <f>IF($C2758="","",IF(COUNTIF($C$2:$C2758,$C2758)=1,1,0))</f>
        <v/>
      </c>
    </row>
    <row r="2759">
      <c r="P2759" s="6">
        <f>IF($C2759="","",IF(COUNTIF($C$2:$C2759,$C2759)=1,1,0))</f>
        <v/>
      </c>
    </row>
    <row r="2760">
      <c r="P2760" s="6">
        <f>IF($C2760="","",IF(COUNTIF($C$2:$C2760,$C2760)=1,1,0))</f>
        <v/>
      </c>
    </row>
    <row r="2761">
      <c r="P2761" s="6">
        <f>IF($C2761="","",IF(COUNTIF($C$2:$C2761,$C2761)=1,1,0))</f>
        <v/>
      </c>
    </row>
    <row r="2762">
      <c r="P2762" s="6">
        <f>IF($C2762="","",IF(COUNTIF($C$2:$C2762,$C2762)=1,1,0))</f>
        <v/>
      </c>
    </row>
    <row r="2763">
      <c r="P2763" s="6">
        <f>IF($C2763="","",IF(COUNTIF($C$2:$C2763,$C2763)=1,1,0))</f>
        <v/>
      </c>
    </row>
    <row r="2764">
      <c r="P2764" s="6">
        <f>IF($C2764="","",IF(COUNTIF($C$2:$C2764,$C2764)=1,1,0))</f>
        <v/>
      </c>
    </row>
    <row r="2765">
      <c r="P2765" s="6">
        <f>IF($C2765="","",IF(COUNTIF($C$2:$C2765,$C2765)=1,1,0))</f>
        <v/>
      </c>
    </row>
    <row r="2766">
      <c r="P2766" s="6">
        <f>IF($C2766="","",IF(COUNTIF($C$2:$C2766,$C2766)=1,1,0))</f>
        <v/>
      </c>
    </row>
    <row r="2767">
      <c r="P2767" s="6">
        <f>IF($C2767="","",IF(COUNTIF($C$2:$C2767,$C2767)=1,1,0))</f>
        <v/>
      </c>
    </row>
    <row r="2768">
      <c r="P2768" s="6">
        <f>IF($C2768="","",IF(COUNTIF($C$2:$C2768,$C2768)=1,1,0))</f>
        <v/>
      </c>
    </row>
    <row r="2769">
      <c r="P2769" s="6">
        <f>IF($C2769="","",IF(COUNTIF($C$2:$C2769,$C2769)=1,1,0))</f>
        <v/>
      </c>
    </row>
    <row r="2770">
      <c r="P2770" s="6">
        <f>IF($C2770="","",IF(COUNTIF($C$2:$C2770,$C2770)=1,1,0))</f>
        <v/>
      </c>
    </row>
    <row r="2771">
      <c r="P2771" s="6">
        <f>IF($C2771="","",IF(COUNTIF($C$2:$C2771,$C2771)=1,1,0))</f>
        <v/>
      </c>
    </row>
    <row r="2772">
      <c r="P2772" s="6">
        <f>IF($C2772="","",IF(COUNTIF($C$2:$C2772,$C2772)=1,1,0))</f>
        <v/>
      </c>
    </row>
    <row r="2773">
      <c r="P2773" s="6">
        <f>IF($C2773="","",IF(COUNTIF($C$2:$C2773,$C2773)=1,1,0))</f>
        <v/>
      </c>
    </row>
    <row r="2774">
      <c r="P2774" s="6">
        <f>IF($C2774="","",IF(COUNTIF($C$2:$C2774,$C2774)=1,1,0))</f>
        <v/>
      </c>
    </row>
    <row r="2775">
      <c r="P2775" s="6">
        <f>IF($C2775="","",IF(COUNTIF($C$2:$C2775,$C2775)=1,1,0))</f>
        <v/>
      </c>
    </row>
    <row r="2776">
      <c r="P2776" s="6">
        <f>IF($C2776="","",IF(COUNTIF($C$2:$C2776,$C2776)=1,1,0))</f>
        <v/>
      </c>
    </row>
    <row r="2777">
      <c r="P2777" s="6">
        <f>IF($C2777="","",IF(COUNTIF($C$2:$C2777,$C2777)=1,1,0))</f>
        <v/>
      </c>
    </row>
    <row r="2778">
      <c r="P2778" s="6">
        <f>IF($C2778="","",IF(COUNTIF($C$2:$C2778,$C2778)=1,1,0))</f>
        <v/>
      </c>
    </row>
    <row r="2779">
      <c r="P2779" s="6">
        <f>IF($C2779="","",IF(COUNTIF($C$2:$C2779,$C2779)=1,1,0))</f>
        <v/>
      </c>
    </row>
    <row r="2780">
      <c r="P2780" s="6">
        <f>IF($C2780="","",IF(COUNTIF($C$2:$C2780,$C2780)=1,1,0))</f>
        <v/>
      </c>
    </row>
    <row r="2781">
      <c r="P2781" s="6">
        <f>IF($C2781="","",IF(COUNTIF($C$2:$C2781,$C2781)=1,1,0))</f>
        <v/>
      </c>
    </row>
    <row r="2782">
      <c r="P2782" s="6">
        <f>IF($C2782="","",IF(COUNTIF($C$2:$C2782,$C2782)=1,1,0))</f>
        <v/>
      </c>
    </row>
    <row r="2783">
      <c r="P2783" s="6">
        <f>IF($C2783="","",IF(COUNTIF($C$2:$C2783,$C2783)=1,1,0))</f>
        <v/>
      </c>
    </row>
    <row r="2784">
      <c r="P2784" s="6">
        <f>IF($C2784="","",IF(COUNTIF($C$2:$C2784,$C2784)=1,1,0))</f>
        <v/>
      </c>
    </row>
    <row r="2785">
      <c r="P2785" s="6">
        <f>IF($C2785="","",IF(COUNTIF($C$2:$C2785,$C2785)=1,1,0))</f>
        <v/>
      </c>
    </row>
    <row r="2786">
      <c r="P2786" s="6">
        <f>IF($C2786="","",IF(COUNTIF($C$2:$C2786,$C2786)=1,1,0))</f>
        <v/>
      </c>
    </row>
    <row r="2787">
      <c r="P2787" s="6">
        <f>IF($C2787="","",IF(COUNTIF($C$2:$C2787,$C2787)=1,1,0))</f>
        <v/>
      </c>
    </row>
    <row r="2788">
      <c r="P2788" s="6">
        <f>IF($C2788="","",IF(COUNTIF($C$2:$C2788,$C2788)=1,1,0))</f>
        <v/>
      </c>
    </row>
    <row r="2789">
      <c r="P2789" s="6">
        <f>IF($C2789="","",IF(COUNTIF($C$2:$C2789,$C2789)=1,1,0))</f>
        <v/>
      </c>
    </row>
    <row r="2790">
      <c r="P2790" s="6">
        <f>IF($C2790="","",IF(COUNTIF($C$2:$C2790,$C2790)=1,1,0))</f>
        <v/>
      </c>
    </row>
    <row r="2791">
      <c r="P2791" s="6">
        <f>IF($C2791="","",IF(COUNTIF($C$2:$C2791,$C2791)=1,1,0))</f>
        <v/>
      </c>
    </row>
    <row r="2792">
      <c r="P2792" s="6">
        <f>IF($C2792="","",IF(COUNTIF($C$2:$C2792,$C2792)=1,1,0))</f>
        <v/>
      </c>
    </row>
    <row r="2793">
      <c r="P2793" s="6">
        <f>IF($C2793="","",IF(COUNTIF($C$2:$C2793,$C2793)=1,1,0))</f>
        <v/>
      </c>
    </row>
    <row r="2794">
      <c r="P2794" s="6">
        <f>IF($C2794="","",IF(COUNTIF($C$2:$C2794,$C2794)=1,1,0))</f>
        <v/>
      </c>
    </row>
    <row r="2795">
      <c r="P2795" s="6">
        <f>IF($C2795="","",IF(COUNTIF($C$2:$C2795,$C2795)=1,1,0))</f>
        <v/>
      </c>
    </row>
    <row r="2796">
      <c r="P2796" s="6">
        <f>IF($C2796="","",IF(COUNTIF($C$2:$C2796,$C2796)=1,1,0))</f>
        <v/>
      </c>
    </row>
    <row r="2797">
      <c r="P2797" s="6">
        <f>IF($C2797="","",IF(COUNTIF($C$2:$C2797,$C2797)=1,1,0))</f>
        <v/>
      </c>
    </row>
    <row r="2798">
      <c r="P2798" s="6">
        <f>IF($C2798="","",IF(COUNTIF($C$2:$C2798,$C2798)=1,1,0))</f>
        <v/>
      </c>
    </row>
    <row r="2799">
      <c r="P2799" s="6">
        <f>IF($C2799="","",IF(COUNTIF($C$2:$C2799,$C2799)=1,1,0))</f>
        <v/>
      </c>
    </row>
    <row r="2800">
      <c r="P2800" s="6">
        <f>IF($C2800="","",IF(COUNTIF($C$2:$C2800,$C2800)=1,1,0))</f>
        <v/>
      </c>
    </row>
    <row r="2801">
      <c r="P2801" s="6">
        <f>IF($C2801="","",IF(COUNTIF($C$2:$C2801,$C2801)=1,1,0))</f>
        <v/>
      </c>
    </row>
    <row r="2802">
      <c r="P2802" s="6">
        <f>IF($C2802="","",IF(COUNTIF($C$2:$C2802,$C2802)=1,1,0))</f>
        <v/>
      </c>
    </row>
    <row r="2803">
      <c r="P2803" s="6">
        <f>IF($C2803="","",IF(COUNTIF($C$2:$C2803,$C2803)=1,1,0))</f>
        <v/>
      </c>
    </row>
    <row r="2804">
      <c r="P2804" s="6">
        <f>IF($C2804="","",IF(COUNTIF($C$2:$C2804,$C2804)=1,1,0))</f>
        <v/>
      </c>
    </row>
    <row r="2805">
      <c r="P2805" s="6">
        <f>IF($C2805="","",IF(COUNTIF($C$2:$C2805,$C2805)=1,1,0))</f>
        <v/>
      </c>
    </row>
    <row r="2806">
      <c r="P2806" s="6">
        <f>IF($C2806="","",IF(COUNTIF($C$2:$C2806,$C2806)=1,1,0))</f>
        <v/>
      </c>
    </row>
    <row r="2807">
      <c r="P2807" s="6">
        <f>IF($C2807="","",IF(COUNTIF($C$2:$C2807,$C2807)=1,1,0))</f>
        <v/>
      </c>
    </row>
    <row r="2808">
      <c r="P2808" s="6">
        <f>IF($C2808="","",IF(COUNTIF($C$2:$C2808,$C2808)=1,1,0))</f>
        <v/>
      </c>
    </row>
    <row r="2809">
      <c r="P2809" s="6">
        <f>IF($C2809="","",IF(COUNTIF($C$2:$C2809,$C2809)=1,1,0))</f>
        <v/>
      </c>
    </row>
    <row r="2810">
      <c r="P2810" s="6">
        <f>IF($C2810="","",IF(COUNTIF($C$2:$C2810,$C2810)=1,1,0))</f>
        <v/>
      </c>
    </row>
    <row r="2811">
      <c r="P2811" s="6">
        <f>IF($C2811="","",IF(COUNTIF($C$2:$C2811,$C2811)=1,1,0))</f>
        <v/>
      </c>
    </row>
    <row r="2812">
      <c r="P2812" s="6">
        <f>IF($C2812="","",IF(COUNTIF($C$2:$C2812,$C2812)=1,1,0))</f>
        <v/>
      </c>
    </row>
    <row r="2813">
      <c r="P2813" s="6">
        <f>IF($C2813="","",IF(COUNTIF($C$2:$C2813,$C2813)=1,1,0))</f>
        <v/>
      </c>
    </row>
    <row r="2814">
      <c r="P2814" s="6">
        <f>IF($C2814="","",IF(COUNTIF($C$2:$C2814,$C2814)=1,1,0))</f>
        <v/>
      </c>
    </row>
    <row r="2815">
      <c r="P2815" s="6">
        <f>IF($C2815="","",IF(COUNTIF($C$2:$C2815,$C2815)=1,1,0))</f>
        <v/>
      </c>
    </row>
    <row r="2816">
      <c r="P2816" s="6">
        <f>IF($C2816="","",IF(COUNTIF($C$2:$C2816,$C2816)=1,1,0))</f>
        <v/>
      </c>
    </row>
    <row r="2817">
      <c r="P2817" s="6">
        <f>IF($C2817="","",IF(COUNTIF($C$2:$C2817,$C2817)=1,1,0))</f>
        <v/>
      </c>
    </row>
    <row r="2818">
      <c r="P2818" s="6">
        <f>IF($C2818="","",IF(COUNTIF($C$2:$C2818,$C2818)=1,1,0))</f>
        <v/>
      </c>
    </row>
    <row r="2819">
      <c r="P2819" s="6">
        <f>IF($C2819="","",IF(COUNTIF($C$2:$C2819,$C2819)=1,1,0))</f>
        <v/>
      </c>
    </row>
    <row r="2820">
      <c r="P2820" s="6">
        <f>IF($C2820="","",IF(COUNTIF($C$2:$C2820,$C2820)=1,1,0))</f>
        <v/>
      </c>
    </row>
    <row r="2821">
      <c r="P2821" s="6">
        <f>IF($C2821="","",IF(COUNTIF($C$2:$C2821,$C2821)=1,1,0))</f>
        <v/>
      </c>
    </row>
    <row r="2822">
      <c r="P2822" s="6">
        <f>IF($C2822="","",IF(COUNTIF($C$2:$C2822,$C2822)=1,1,0))</f>
        <v/>
      </c>
    </row>
    <row r="2823">
      <c r="P2823" s="6">
        <f>IF($C2823="","",IF(COUNTIF($C$2:$C2823,$C2823)=1,1,0))</f>
        <v/>
      </c>
    </row>
    <row r="2824">
      <c r="P2824" s="6">
        <f>IF($C2824="","",IF(COUNTIF($C$2:$C2824,$C2824)=1,1,0))</f>
        <v/>
      </c>
    </row>
    <row r="2825">
      <c r="P2825" s="6">
        <f>IF($C2825="","",IF(COUNTIF($C$2:$C2825,$C2825)=1,1,0))</f>
        <v/>
      </c>
    </row>
    <row r="2826">
      <c r="P2826" s="6">
        <f>IF($C2826="","",IF(COUNTIF($C$2:$C2826,$C2826)=1,1,0))</f>
        <v/>
      </c>
    </row>
    <row r="2827">
      <c r="P2827" s="6">
        <f>IF($C2827="","",IF(COUNTIF($C$2:$C2827,$C2827)=1,1,0))</f>
        <v/>
      </c>
    </row>
    <row r="2828">
      <c r="P2828" s="6">
        <f>IF($C2828="","",IF(COUNTIF($C$2:$C2828,$C2828)=1,1,0))</f>
        <v/>
      </c>
    </row>
    <row r="2829">
      <c r="P2829" s="6">
        <f>IF($C2829="","",IF(COUNTIF($C$2:$C2829,$C2829)=1,1,0))</f>
        <v/>
      </c>
    </row>
    <row r="2830">
      <c r="P2830" s="6">
        <f>IF($C2830="","",IF(COUNTIF($C$2:$C2830,$C2830)=1,1,0))</f>
        <v/>
      </c>
    </row>
    <row r="2831">
      <c r="P2831" s="6">
        <f>IF($C2831="","",IF(COUNTIF($C$2:$C2831,$C2831)=1,1,0))</f>
        <v/>
      </c>
    </row>
    <row r="2832">
      <c r="P2832" s="6">
        <f>IF($C2832="","",IF(COUNTIF($C$2:$C2832,$C2832)=1,1,0))</f>
        <v/>
      </c>
    </row>
    <row r="2833">
      <c r="P2833" s="6">
        <f>IF($C2833="","",IF(COUNTIF($C$2:$C2833,$C2833)=1,1,0))</f>
        <v/>
      </c>
    </row>
    <row r="2834">
      <c r="P2834" s="6">
        <f>IF($C2834="","",IF(COUNTIF($C$2:$C2834,$C2834)=1,1,0))</f>
        <v/>
      </c>
    </row>
    <row r="2835">
      <c r="P2835" s="6">
        <f>IF($C2835="","",IF(COUNTIF($C$2:$C2835,$C2835)=1,1,0))</f>
        <v/>
      </c>
    </row>
    <row r="2836">
      <c r="P2836" s="6">
        <f>IF($C2836="","",IF(COUNTIF($C$2:$C2836,$C2836)=1,1,0))</f>
        <v/>
      </c>
    </row>
    <row r="2837">
      <c r="P2837" s="6">
        <f>IF($C2837="","",IF(COUNTIF($C$2:$C2837,$C2837)=1,1,0))</f>
        <v/>
      </c>
    </row>
    <row r="2838">
      <c r="P2838" s="6">
        <f>IF($C2838="","",IF(COUNTIF($C$2:$C2838,$C2838)=1,1,0))</f>
        <v/>
      </c>
    </row>
    <row r="2839">
      <c r="P2839" s="6">
        <f>IF($C2839="","",IF(COUNTIF($C$2:$C2839,$C2839)=1,1,0))</f>
        <v/>
      </c>
    </row>
    <row r="2840">
      <c r="P2840" s="6">
        <f>IF($C2840="","",IF(COUNTIF($C$2:$C2840,$C2840)=1,1,0))</f>
        <v/>
      </c>
    </row>
    <row r="2841">
      <c r="P2841" s="6">
        <f>IF($C2841="","",IF(COUNTIF($C$2:$C2841,$C2841)=1,1,0))</f>
        <v/>
      </c>
    </row>
    <row r="2842">
      <c r="P2842" s="6">
        <f>IF($C2842="","",IF(COUNTIF($C$2:$C2842,$C2842)=1,1,0))</f>
        <v/>
      </c>
    </row>
    <row r="2843">
      <c r="P2843" s="6">
        <f>IF($C2843="","",IF(COUNTIF($C$2:$C2843,$C2843)=1,1,0))</f>
        <v/>
      </c>
    </row>
    <row r="2844">
      <c r="P2844" s="6">
        <f>IF($C2844="","",IF(COUNTIF($C$2:$C2844,$C2844)=1,1,0))</f>
        <v/>
      </c>
    </row>
    <row r="2845">
      <c r="P2845" s="6">
        <f>IF($C2845="","",IF(COUNTIF($C$2:$C2845,$C2845)=1,1,0))</f>
        <v/>
      </c>
    </row>
    <row r="2846">
      <c r="P2846" s="6">
        <f>IF($C2846="","",IF(COUNTIF($C$2:$C2846,$C2846)=1,1,0))</f>
        <v/>
      </c>
    </row>
    <row r="2847">
      <c r="P2847" s="6">
        <f>IF($C2847="","",IF(COUNTIF($C$2:$C2847,$C2847)=1,1,0))</f>
        <v/>
      </c>
    </row>
    <row r="2848">
      <c r="P2848" s="6">
        <f>IF($C2848="","",IF(COUNTIF($C$2:$C2848,$C2848)=1,1,0))</f>
        <v/>
      </c>
    </row>
    <row r="2849">
      <c r="P2849" s="6">
        <f>IF($C2849="","",IF(COUNTIF($C$2:$C2849,$C2849)=1,1,0))</f>
        <v/>
      </c>
    </row>
    <row r="2850">
      <c r="P2850" s="6">
        <f>IF($C2850="","",IF(COUNTIF($C$2:$C2850,$C2850)=1,1,0))</f>
        <v/>
      </c>
    </row>
    <row r="2851">
      <c r="P2851" s="6">
        <f>IF($C2851="","",IF(COUNTIF($C$2:$C2851,$C2851)=1,1,0))</f>
        <v/>
      </c>
    </row>
    <row r="2852">
      <c r="P2852" s="6">
        <f>IF($C2852="","",IF(COUNTIF($C$2:$C2852,$C2852)=1,1,0))</f>
        <v/>
      </c>
    </row>
    <row r="2853">
      <c r="P2853" s="6">
        <f>IF($C2853="","",IF(COUNTIF($C$2:$C2853,$C2853)=1,1,0))</f>
        <v/>
      </c>
    </row>
    <row r="2854">
      <c r="P2854" s="6">
        <f>IF($C2854="","",IF(COUNTIF($C$2:$C2854,$C2854)=1,1,0))</f>
        <v/>
      </c>
    </row>
    <row r="2855">
      <c r="P2855" s="6">
        <f>IF($C2855="","",IF(COUNTIF($C$2:$C2855,$C2855)=1,1,0))</f>
        <v/>
      </c>
    </row>
    <row r="2856">
      <c r="P2856" s="6">
        <f>IF($C2856="","",IF(COUNTIF($C$2:$C2856,$C2856)=1,1,0))</f>
        <v/>
      </c>
    </row>
    <row r="2857">
      <c r="P2857" s="6">
        <f>IF($C2857="","",IF(COUNTIF($C$2:$C2857,$C2857)=1,1,0))</f>
        <v/>
      </c>
    </row>
    <row r="2858">
      <c r="P2858" s="6">
        <f>IF($C2858="","",IF(COUNTIF($C$2:$C2858,$C2858)=1,1,0))</f>
        <v/>
      </c>
    </row>
    <row r="2859">
      <c r="P2859" s="6">
        <f>IF($C2859="","",IF(COUNTIF($C$2:$C2859,$C2859)=1,1,0))</f>
        <v/>
      </c>
    </row>
    <row r="2860">
      <c r="P2860" s="6">
        <f>IF($C2860="","",IF(COUNTIF($C$2:$C2860,$C2860)=1,1,0))</f>
        <v/>
      </c>
    </row>
    <row r="2861">
      <c r="P2861" s="6">
        <f>IF($C2861="","",IF(COUNTIF($C$2:$C2861,$C2861)=1,1,0))</f>
        <v/>
      </c>
    </row>
    <row r="2862">
      <c r="P2862" s="6">
        <f>IF($C2862="","",IF(COUNTIF($C$2:$C2862,$C2862)=1,1,0))</f>
        <v/>
      </c>
    </row>
    <row r="2863">
      <c r="P2863" s="6">
        <f>IF($C2863="","",IF(COUNTIF($C$2:$C2863,$C2863)=1,1,0))</f>
        <v/>
      </c>
    </row>
    <row r="2864">
      <c r="P2864" s="6">
        <f>IF($C2864="","",IF(COUNTIF($C$2:$C2864,$C2864)=1,1,0))</f>
        <v/>
      </c>
    </row>
    <row r="2865">
      <c r="P2865" s="6">
        <f>IF($C2865="","",IF(COUNTIF($C$2:$C2865,$C2865)=1,1,0))</f>
        <v/>
      </c>
    </row>
    <row r="2866">
      <c r="P2866" s="6">
        <f>IF($C2866="","",IF(COUNTIF($C$2:$C2866,$C2866)=1,1,0))</f>
        <v/>
      </c>
    </row>
    <row r="2867">
      <c r="P2867" s="6">
        <f>IF($C2867="","",IF(COUNTIF($C$2:$C2867,$C2867)=1,1,0))</f>
        <v/>
      </c>
    </row>
    <row r="2868">
      <c r="P2868" s="6">
        <f>IF($C2868="","",IF(COUNTIF($C$2:$C2868,$C2868)=1,1,0))</f>
        <v/>
      </c>
    </row>
    <row r="2869">
      <c r="P2869" s="6">
        <f>IF($C2869="","",IF(COUNTIF($C$2:$C2869,$C2869)=1,1,0))</f>
        <v/>
      </c>
    </row>
    <row r="2870">
      <c r="P2870" s="6">
        <f>IF($C2870="","",IF(COUNTIF($C$2:$C2870,$C2870)=1,1,0))</f>
        <v/>
      </c>
    </row>
    <row r="2871">
      <c r="P2871" s="6">
        <f>IF($C2871="","",IF(COUNTIF($C$2:$C2871,$C2871)=1,1,0))</f>
        <v/>
      </c>
    </row>
    <row r="2872">
      <c r="P2872" s="6">
        <f>IF($C2872="","",IF(COUNTIF($C$2:$C2872,$C2872)=1,1,0))</f>
        <v/>
      </c>
    </row>
    <row r="2873">
      <c r="P2873" s="6">
        <f>IF($C2873="","",IF(COUNTIF($C$2:$C2873,$C2873)=1,1,0))</f>
        <v/>
      </c>
    </row>
    <row r="2874">
      <c r="P2874" s="6">
        <f>IF($C2874="","",IF(COUNTIF($C$2:$C2874,$C2874)=1,1,0))</f>
        <v/>
      </c>
    </row>
    <row r="2875">
      <c r="P2875" s="6">
        <f>IF($C2875="","",IF(COUNTIF($C$2:$C2875,$C2875)=1,1,0))</f>
        <v/>
      </c>
    </row>
    <row r="2876">
      <c r="P2876" s="6">
        <f>IF($C2876="","",IF(COUNTIF($C$2:$C2876,$C2876)=1,1,0))</f>
        <v/>
      </c>
    </row>
    <row r="2877">
      <c r="P2877" s="6">
        <f>IF($C2877="","",IF(COUNTIF($C$2:$C2877,$C2877)=1,1,0))</f>
        <v/>
      </c>
    </row>
    <row r="2878">
      <c r="P2878" s="6">
        <f>IF($C2878="","",IF(COUNTIF($C$2:$C2878,$C2878)=1,1,0))</f>
        <v/>
      </c>
    </row>
    <row r="2879">
      <c r="P2879" s="6">
        <f>IF($C2879="","",IF(COUNTIF($C$2:$C2879,$C2879)=1,1,0))</f>
        <v/>
      </c>
    </row>
    <row r="2880">
      <c r="P2880" s="6">
        <f>IF($C2880="","",IF(COUNTIF($C$2:$C2880,$C2880)=1,1,0))</f>
        <v/>
      </c>
    </row>
    <row r="2881">
      <c r="P2881" s="6">
        <f>IF($C2881="","",IF(COUNTIF($C$2:$C2881,$C2881)=1,1,0))</f>
        <v/>
      </c>
    </row>
    <row r="2882">
      <c r="P2882" s="6">
        <f>IF($C2882="","",IF(COUNTIF($C$2:$C2882,$C2882)=1,1,0))</f>
        <v/>
      </c>
    </row>
    <row r="2883">
      <c r="P2883" s="6">
        <f>IF($C2883="","",IF(COUNTIF($C$2:$C2883,$C2883)=1,1,0))</f>
        <v/>
      </c>
    </row>
    <row r="2884">
      <c r="P2884" s="6">
        <f>IF($C2884="","",IF(COUNTIF($C$2:$C2884,$C2884)=1,1,0))</f>
        <v/>
      </c>
    </row>
    <row r="2885">
      <c r="P2885" s="6">
        <f>IF($C2885="","",IF(COUNTIF($C$2:$C2885,$C2885)=1,1,0))</f>
        <v/>
      </c>
    </row>
    <row r="2886">
      <c r="P2886" s="6">
        <f>IF($C2886="","",IF(COUNTIF($C$2:$C2886,$C2886)=1,1,0))</f>
        <v/>
      </c>
    </row>
    <row r="2887">
      <c r="P2887" s="6">
        <f>IF($C2887="","",IF(COUNTIF($C$2:$C2887,$C2887)=1,1,0))</f>
        <v/>
      </c>
    </row>
    <row r="2888">
      <c r="P2888" s="6">
        <f>IF($C2888="","",IF(COUNTIF($C$2:$C2888,$C2888)=1,1,0))</f>
        <v/>
      </c>
    </row>
    <row r="2889">
      <c r="P2889" s="6">
        <f>IF($C2889="","",IF(COUNTIF($C$2:$C2889,$C2889)=1,1,0))</f>
        <v/>
      </c>
    </row>
    <row r="2890">
      <c r="P2890" s="6">
        <f>IF($C2890="","",IF(COUNTIF($C$2:$C2890,$C2890)=1,1,0))</f>
        <v/>
      </c>
    </row>
    <row r="2891">
      <c r="P2891" s="6">
        <f>IF($C2891="","",IF(COUNTIF($C$2:$C2891,$C2891)=1,1,0))</f>
        <v/>
      </c>
    </row>
    <row r="2892">
      <c r="P2892" s="6">
        <f>IF($C2892="","",IF(COUNTIF($C$2:$C2892,$C2892)=1,1,0))</f>
        <v/>
      </c>
    </row>
    <row r="2893">
      <c r="P2893" s="6">
        <f>IF($C2893="","",IF(COUNTIF($C$2:$C2893,$C2893)=1,1,0))</f>
        <v/>
      </c>
    </row>
    <row r="2894">
      <c r="P2894" s="6">
        <f>IF($C2894="","",IF(COUNTIF($C$2:$C2894,$C2894)=1,1,0))</f>
        <v/>
      </c>
    </row>
    <row r="2895">
      <c r="P2895" s="6">
        <f>IF($C2895="","",IF(COUNTIF($C$2:$C2895,$C2895)=1,1,0))</f>
        <v/>
      </c>
    </row>
    <row r="2896">
      <c r="P2896" s="6">
        <f>IF($C2896="","",IF(COUNTIF($C$2:$C2896,$C2896)=1,1,0))</f>
        <v/>
      </c>
    </row>
    <row r="2897">
      <c r="P2897" s="6">
        <f>IF($C2897="","",IF(COUNTIF($C$2:$C2897,$C2897)=1,1,0))</f>
        <v/>
      </c>
    </row>
    <row r="2898">
      <c r="P2898" s="6">
        <f>IF($C2898="","",IF(COUNTIF($C$2:$C2898,$C2898)=1,1,0))</f>
        <v/>
      </c>
    </row>
    <row r="2899">
      <c r="P2899" s="6">
        <f>IF($C2899="","",IF(COUNTIF($C$2:$C2899,$C2899)=1,1,0))</f>
        <v/>
      </c>
    </row>
    <row r="2900">
      <c r="P2900" s="6">
        <f>IF($C2900="","",IF(COUNTIF($C$2:$C2900,$C2900)=1,1,0))</f>
        <v/>
      </c>
    </row>
    <row r="2901">
      <c r="P2901" s="6">
        <f>IF($C2901="","",IF(COUNTIF($C$2:$C2901,$C2901)=1,1,0))</f>
        <v/>
      </c>
    </row>
    <row r="2902">
      <c r="P2902" s="6">
        <f>IF($C2902="","",IF(COUNTIF($C$2:$C2902,$C2902)=1,1,0))</f>
        <v/>
      </c>
    </row>
    <row r="2903">
      <c r="P2903" s="6">
        <f>IF($C2903="","",IF(COUNTIF($C$2:$C2903,$C2903)=1,1,0))</f>
        <v/>
      </c>
    </row>
    <row r="2904">
      <c r="P2904" s="6">
        <f>IF($C2904="","",IF(COUNTIF($C$2:$C2904,$C2904)=1,1,0))</f>
        <v/>
      </c>
    </row>
    <row r="2905">
      <c r="P2905" s="6">
        <f>IF($C2905="","",IF(COUNTIF($C$2:$C2905,$C2905)=1,1,0))</f>
        <v/>
      </c>
    </row>
    <row r="2906">
      <c r="P2906" s="6">
        <f>IF($C2906="","",IF(COUNTIF($C$2:$C2906,$C2906)=1,1,0))</f>
        <v/>
      </c>
    </row>
    <row r="2907">
      <c r="P2907" s="6">
        <f>IF($C2907="","",IF(COUNTIF($C$2:$C2907,$C2907)=1,1,0))</f>
        <v/>
      </c>
    </row>
    <row r="2908">
      <c r="P2908" s="6">
        <f>IF($C2908="","",IF(COUNTIF($C$2:$C2908,$C2908)=1,1,0))</f>
        <v/>
      </c>
    </row>
    <row r="2909">
      <c r="P2909" s="6">
        <f>IF($C2909="","",IF(COUNTIF($C$2:$C2909,$C2909)=1,1,0))</f>
        <v/>
      </c>
    </row>
    <row r="2910">
      <c r="P2910" s="6">
        <f>IF($C2910="","",IF(COUNTIF($C$2:$C2910,$C2910)=1,1,0))</f>
        <v/>
      </c>
    </row>
    <row r="2911">
      <c r="P2911" s="6">
        <f>IF($C2911="","",IF(COUNTIF($C$2:$C2911,$C2911)=1,1,0))</f>
        <v/>
      </c>
    </row>
    <row r="2912">
      <c r="P2912" s="6">
        <f>IF($C2912="","",IF(COUNTIF($C$2:$C2912,$C2912)=1,1,0))</f>
        <v/>
      </c>
    </row>
    <row r="2913">
      <c r="P2913" s="6">
        <f>IF($C2913="","",IF(COUNTIF($C$2:$C2913,$C2913)=1,1,0))</f>
        <v/>
      </c>
    </row>
    <row r="2914">
      <c r="P2914" s="6">
        <f>IF($C2914="","",IF(COUNTIF($C$2:$C2914,$C2914)=1,1,0))</f>
        <v/>
      </c>
    </row>
    <row r="2915">
      <c r="P2915" s="6">
        <f>IF($C2915="","",IF(COUNTIF($C$2:$C2915,$C2915)=1,1,0))</f>
        <v/>
      </c>
    </row>
    <row r="2916">
      <c r="P2916" s="6">
        <f>IF($C2916="","",IF(COUNTIF($C$2:$C2916,$C2916)=1,1,0))</f>
        <v/>
      </c>
    </row>
    <row r="2917">
      <c r="P2917" s="6">
        <f>IF($C2917="","",IF(COUNTIF($C$2:$C2917,$C2917)=1,1,0))</f>
        <v/>
      </c>
    </row>
    <row r="2918">
      <c r="P2918" s="6">
        <f>IF($C2918="","",IF(COUNTIF($C$2:$C2918,$C2918)=1,1,0))</f>
        <v/>
      </c>
    </row>
    <row r="2919">
      <c r="P2919" s="6">
        <f>IF($C2919="","",IF(COUNTIF($C$2:$C2919,$C2919)=1,1,0))</f>
        <v/>
      </c>
    </row>
    <row r="2920">
      <c r="P2920" s="6">
        <f>IF($C2920="","",IF(COUNTIF($C$2:$C2920,$C2920)=1,1,0))</f>
        <v/>
      </c>
    </row>
    <row r="2921">
      <c r="P2921" s="6">
        <f>IF($C2921="","",IF(COUNTIF($C$2:$C2921,$C2921)=1,1,0))</f>
        <v/>
      </c>
    </row>
    <row r="2922">
      <c r="P2922" s="6">
        <f>IF($C2922="","",IF(COUNTIF($C$2:$C2922,$C2922)=1,1,0))</f>
        <v/>
      </c>
    </row>
    <row r="2923">
      <c r="P2923" s="6">
        <f>IF($C2923="","",IF(COUNTIF($C$2:$C2923,$C2923)=1,1,0))</f>
        <v/>
      </c>
    </row>
    <row r="2924">
      <c r="P2924" s="6">
        <f>IF($C2924="","",IF(COUNTIF($C$2:$C2924,$C2924)=1,1,0))</f>
        <v/>
      </c>
    </row>
    <row r="2925">
      <c r="P2925" s="6">
        <f>IF($C2925="","",IF(COUNTIF($C$2:$C2925,$C2925)=1,1,0))</f>
        <v/>
      </c>
    </row>
    <row r="2926">
      <c r="P2926" s="6">
        <f>IF($C2926="","",IF(COUNTIF($C$2:$C2926,$C2926)=1,1,0))</f>
        <v/>
      </c>
    </row>
    <row r="2927">
      <c r="P2927" s="6">
        <f>IF($C2927="","",IF(COUNTIF($C$2:$C2927,$C2927)=1,1,0))</f>
        <v/>
      </c>
    </row>
    <row r="2928">
      <c r="P2928" s="6">
        <f>IF($C2928="","",IF(COUNTIF($C$2:$C2928,$C2928)=1,1,0))</f>
        <v/>
      </c>
    </row>
    <row r="2929">
      <c r="P2929" s="6">
        <f>IF($C2929="","",IF(COUNTIF($C$2:$C2929,$C2929)=1,1,0))</f>
        <v/>
      </c>
    </row>
    <row r="2930">
      <c r="P2930" s="6">
        <f>IF($C2930="","",IF(COUNTIF($C$2:$C2930,$C2930)=1,1,0))</f>
        <v/>
      </c>
    </row>
    <row r="2931">
      <c r="P2931" s="6">
        <f>IF($C2931="","",IF(COUNTIF($C$2:$C2931,$C2931)=1,1,0))</f>
        <v/>
      </c>
    </row>
    <row r="2932">
      <c r="P2932" s="6">
        <f>IF($C2932="","",IF(COUNTIF($C$2:$C2932,$C2932)=1,1,0))</f>
        <v/>
      </c>
    </row>
    <row r="2933">
      <c r="P2933" s="6">
        <f>IF($C2933="","",IF(COUNTIF($C$2:$C2933,$C2933)=1,1,0))</f>
        <v/>
      </c>
    </row>
    <row r="2934">
      <c r="P2934" s="6">
        <f>IF($C2934="","",IF(COUNTIF($C$2:$C2934,$C2934)=1,1,0))</f>
        <v/>
      </c>
    </row>
    <row r="2935">
      <c r="P2935" s="6">
        <f>IF($C2935="","",IF(COUNTIF($C$2:$C2935,$C2935)=1,1,0))</f>
        <v/>
      </c>
    </row>
    <row r="2936">
      <c r="P2936" s="6">
        <f>IF($C2936="","",IF(COUNTIF($C$2:$C2936,$C2936)=1,1,0))</f>
        <v/>
      </c>
    </row>
    <row r="2937">
      <c r="P2937" s="6">
        <f>IF($C2937="","",IF(COUNTIF($C$2:$C2937,$C2937)=1,1,0))</f>
        <v/>
      </c>
    </row>
    <row r="2938">
      <c r="P2938" s="6">
        <f>IF($C2938="","",IF(COUNTIF($C$2:$C2938,$C2938)=1,1,0))</f>
        <v/>
      </c>
    </row>
    <row r="2939">
      <c r="P2939" s="6">
        <f>IF($C2939="","",IF(COUNTIF($C$2:$C2939,$C2939)=1,1,0))</f>
        <v/>
      </c>
    </row>
    <row r="2940">
      <c r="P2940" s="6">
        <f>IF($C2940="","",IF(COUNTIF($C$2:$C2940,$C2940)=1,1,0))</f>
        <v/>
      </c>
    </row>
    <row r="2941">
      <c r="P2941" s="6">
        <f>IF($C2941="","",IF(COUNTIF($C$2:$C2941,$C2941)=1,1,0))</f>
        <v/>
      </c>
    </row>
    <row r="2942">
      <c r="P2942" s="6">
        <f>IF($C2942="","",IF(COUNTIF($C$2:$C2942,$C2942)=1,1,0))</f>
        <v/>
      </c>
    </row>
    <row r="2943">
      <c r="P2943" s="6">
        <f>IF($C2943="","",IF(COUNTIF($C$2:$C2943,$C2943)=1,1,0))</f>
        <v/>
      </c>
    </row>
    <row r="2944">
      <c r="P2944" s="6">
        <f>IF($C2944="","",IF(COUNTIF($C$2:$C2944,$C2944)=1,1,0))</f>
        <v/>
      </c>
    </row>
    <row r="2945">
      <c r="P2945" s="6">
        <f>IF($C2945="","",IF(COUNTIF($C$2:$C2945,$C2945)=1,1,0))</f>
        <v/>
      </c>
    </row>
    <row r="2946">
      <c r="P2946" s="6">
        <f>IF($C2946="","",IF(COUNTIF($C$2:$C2946,$C2946)=1,1,0))</f>
        <v/>
      </c>
    </row>
    <row r="2947">
      <c r="P2947" s="6">
        <f>IF($C2947="","",IF(COUNTIF($C$2:$C2947,$C2947)=1,1,0))</f>
        <v/>
      </c>
    </row>
    <row r="2948">
      <c r="P2948" s="6">
        <f>IF($C2948="","",IF(COUNTIF($C$2:$C2948,$C2948)=1,1,0))</f>
        <v/>
      </c>
    </row>
    <row r="2949">
      <c r="P2949" s="6">
        <f>IF($C2949="","",IF(COUNTIF($C$2:$C2949,$C2949)=1,1,0))</f>
        <v/>
      </c>
    </row>
    <row r="2950">
      <c r="P2950" s="6">
        <f>IF($C2950="","",IF(COUNTIF($C$2:$C2950,$C2950)=1,1,0))</f>
        <v/>
      </c>
    </row>
    <row r="2951">
      <c r="P2951" s="6">
        <f>IF($C2951="","",IF(COUNTIF($C$2:$C2951,$C2951)=1,1,0))</f>
        <v/>
      </c>
    </row>
    <row r="2952">
      <c r="P2952" s="6">
        <f>IF($C2952="","",IF(COUNTIF($C$2:$C2952,$C2952)=1,1,0))</f>
        <v/>
      </c>
    </row>
    <row r="2953">
      <c r="P2953" s="6">
        <f>IF($C2953="","",IF(COUNTIF($C$2:$C2953,$C2953)=1,1,0))</f>
        <v/>
      </c>
    </row>
    <row r="2954">
      <c r="P2954" s="6">
        <f>IF($C2954="","",IF(COUNTIF($C$2:$C2954,$C2954)=1,1,0))</f>
        <v/>
      </c>
    </row>
    <row r="2955">
      <c r="P2955" s="6">
        <f>IF($C2955="","",IF(COUNTIF($C$2:$C2955,$C2955)=1,1,0))</f>
        <v/>
      </c>
    </row>
    <row r="2956">
      <c r="P2956" s="6">
        <f>IF($C2956="","",IF(COUNTIF($C$2:$C2956,$C2956)=1,1,0))</f>
        <v/>
      </c>
    </row>
    <row r="2957">
      <c r="P2957" s="6">
        <f>IF($C2957="","",IF(COUNTIF($C$2:$C2957,$C2957)=1,1,0))</f>
        <v/>
      </c>
    </row>
    <row r="2958">
      <c r="P2958" s="6">
        <f>IF($C2958="","",IF(COUNTIF($C$2:$C2958,$C2958)=1,1,0))</f>
        <v/>
      </c>
    </row>
    <row r="2959">
      <c r="P2959" s="6">
        <f>IF($C2959="","",IF(COUNTIF($C$2:$C2959,$C2959)=1,1,0))</f>
        <v/>
      </c>
    </row>
    <row r="2960">
      <c r="P2960" s="6">
        <f>IF($C2960="","",IF(COUNTIF($C$2:$C2960,$C2960)=1,1,0))</f>
        <v/>
      </c>
    </row>
    <row r="2961">
      <c r="P2961" s="6">
        <f>IF($C2961="","",IF(COUNTIF($C$2:$C2961,$C2961)=1,1,0))</f>
        <v/>
      </c>
    </row>
    <row r="2962">
      <c r="P2962" s="6">
        <f>IF($C2962="","",IF(COUNTIF($C$2:$C2962,$C2962)=1,1,0))</f>
        <v/>
      </c>
    </row>
    <row r="2963">
      <c r="P2963" s="6">
        <f>IF($C2963="","",IF(COUNTIF($C$2:$C2963,$C2963)=1,1,0))</f>
        <v/>
      </c>
    </row>
    <row r="2964">
      <c r="P2964" s="6">
        <f>IF($C2964="","",IF(COUNTIF($C$2:$C2964,$C2964)=1,1,0))</f>
        <v/>
      </c>
    </row>
    <row r="2965">
      <c r="P2965" s="6">
        <f>IF($C2965="","",IF(COUNTIF($C$2:$C2965,$C2965)=1,1,0))</f>
        <v/>
      </c>
    </row>
    <row r="2966">
      <c r="P2966" s="6">
        <f>IF($C2966="","",IF(COUNTIF($C$2:$C2966,$C2966)=1,1,0))</f>
        <v/>
      </c>
    </row>
    <row r="2967">
      <c r="P2967" s="6">
        <f>IF($C2967="","",IF(COUNTIF($C$2:$C2967,$C2967)=1,1,0))</f>
        <v/>
      </c>
    </row>
    <row r="2968">
      <c r="P2968" s="6">
        <f>IF($C2968="","",IF(COUNTIF($C$2:$C2968,$C2968)=1,1,0))</f>
        <v/>
      </c>
    </row>
    <row r="2969">
      <c r="P2969" s="6">
        <f>IF($C2969="","",IF(COUNTIF($C$2:$C2969,$C2969)=1,1,0))</f>
        <v/>
      </c>
    </row>
    <row r="2970">
      <c r="P2970" s="6">
        <f>IF($C2970="","",IF(COUNTIF($C$2:$C2970,$C2970)=1,1,0))</f>
        <v/>
      </c>
    </row>
    <row r="2971">
      <c r="P2971" s="6">
        <f>IF($C2971="","",IF(COUNTIF($C$2:$C2971,$C2971)=1,1,0))</f>
        <v/>
      </c>
    </row>
    <row r="2972">
      <c r="P2972" s="6">
        <f>IF($C2972="","",IF(COUNTIF($C$2:$C2972,$C2972)=1,1,0))</f>
        <v/>
      </c>
    </row>
    <row r="2973">
      <c r="P2973" s="6">
        <f>IF($C2973="","",IF(COUNTIF($C$2:$C2973,$C2973)=1,1,0))</f>
        <v/>
      </c>
    </row>
    <row r="2974">
      <c r="P2974" s="6">
        <f>IF($C2974="","",IF(COUNTIF($C$2:$C2974,$C2974)=1,1,0))</f>
        <v/>
      </c>
    </row>
    <row r="2975">
      <c r="P2975" s="6">
        <f>IF($C2975="","",IF(COUNTIF($C$2:$C2975,$C2975)=1,1,0))</f>
        <v/>
      </c>
    </row>
    <row r="2976">
      <c r="P2976" s="6">
        <f>IF($C2976="","",IF(COUNTIF($C$2:$C2976,$C2976)=1,1,0))</f>
        <v/>
      </c>
    </row>
    <row r="2977">
      <c r="P2977" s="6">
        <f>IF($C2977="","",IF(COUNTIF($C$2:$C2977,$C2977)=1,1,0))</f>
        <v/>
      </c>
    </row>
    <row r="2978">
      <c r="P2978" s="6">
        <f>IF($C2978="","",IF(COUNTIF($C$2:$C2978,$C2978)=1,1,0))</f>
        <v/>
      </c>
    </row>
    <row r="2979">
      <c r="P2979" s="6">
        <f>IF($C2979="","",IF(COUNTIF($C$2:$C2979,$C2979)=1,1,0))</f>
        <v/>
      </c>
    </row>
    <row r="2980">
      <c r="P2980" s="6">
        <f>IF($C2980="","",IF(COUNTIF($C$2:$C2980,$C2980)=1,1,0))</f>
        <v/>
      </c>
    </row>
    <row r="2981">
      <c r="P2981" s="6">
        <f>IF($C2981="","",IF(COUNTIF($C$2:$C2981,$C2981)=1,1,0))</f>
        <v/>
      </c>
    </row>
    <row r="2982">
      <c r="P2982" s="6">
        <f>IF($C2982="","",IF(COUNTIF($C$2:$C2982,$C2982)=1,1,0))</f>
        <v/>
      </c>
    </row>
    <row r="2983">
      <c r="P2983" s="6">
        <f>IF($C2983="","",IF(COUNTIF($C$2:$C2983,$C2983)=1,1,0))</f>
        <v/>
      </c>
    </row>
    <row r="2984">
      <c r="P2984" s="6">
        <f>IF($C2984="","",IF(COUNTIF($C$2:$C2984,$C2984)=1,1,0))</f>
        <v/>
      </c>
    </row>
    <row r="2985">
      <c r="P2985" s="6">
        <f>IF($C2985="","",IF(COUNTIF($C$2:$C2985,$C2985)=1,1,0))</f>
        <v/>
      </c>
    </row>
    <row r="2986">
      <c r="P2986" s="6">
        <f>IF($C2986="","",IF(COUNTIF($C$2:$C2986,$C2986)=1,1,0))</f>
        <v/>
      </c>
    </row>
    <row r="2987">
      <c r="P2987" s="6">
        <f>IF($C2987="","",IF(COUNTIF($C$2:$C2987,$C2987)=1,1,0))</f>
        <v/>
      </c>
    </row>
    <row r="2988">
      <c r="P2988" s="6">
        <f>IF($C2988="","",IF(COUNTIF($C$2:$C2988,$C2988)=1,1,0))</f>
        <v/>
      </c>
    </row>
    <row r="2989">
      <c r="P2989" s="6">
        <f>IF($C2989="","",IF(COUNTIF($C$2:$C2989,$C2989)=1,1,0))</f>
        <v/>
      </c>
    </row>
    <row r="2990">
      <c r="P2990" s="6">
        <f>IF($C2990="","",IF(COUNTIF($C$2:$C2990,$C2990)=1,1,0))</f>
        <v/>
      </c>
    </row>
    <row r="2991">
      <c r="P2991" s="6">
        <f>IF($C2991="","",IF(COUNTIF($C$2:$C2991,$C2991)=1,1,0))</f>
        <v/>
      </c>
    </row>
    <row r="2992">
      <c r="P2992" s="6">
        <f>IF($C2992="","",IF(COUNTIF($C$2:$C2992,$C2992)=1,1,0))</f>
        <v/>
      </c>
    </row>
    <row r="2993">
      <c r="P2993" s="6">
        <f>IF($C2993="","",IF(COUNTIF($C$2:$C2993,$C2993)=1,1,0))</f>
        <v/>
      </c>
    </row>
    <row r="2994">
      <c r="P2994" s="6">
        <f>IF($C2994="","",IF(COUNTIF($C$2:$C2994,$C2994)=1,1,0))</f>
        <v/>
      </c>
    </row>
    <row r="2995">
      <c r="P2995" s="6">
        <f>IF($C2995="","",IF(COUNTIF($C$2:$C2995,$C2995)=1,1,0))</f>
        <v/>
      </c>
    </row>
    <row r="2996">
      <c r="P2996" s="6">
        <f>IF($C2996="","",IF(COUNTIF($C$2:$C2996,$C2996)=1,1,0))</f>
        <v/>
      </c>
    </row>
    <row r="2997">
      <c r="P2997" s="6">
        <f>IF($C2997="","",IF(COUNTIF($C$2:$C2997,$C2997)=1,1,0))</f>
        <v/>
      </c>
    </row>
    <row r="2998">
      <c r="P2998" s="6">
        <f>IF($C2998="","",IF(COUNTIF($C$2:$C2998,$C2998)=1,1,0))</f>
        <v/>
      </c>
    </row>
    <row r="2999">
      <c r="P2999" s="6">
        <f>IF($C2999="","",IF(COUNTIF($C$2:$C2999,$C2999)=1,1,0))</f>
        <v/>
      </c>
    </row>
    <row r="3000">
      <c r="P3000" s="6">
        <f>IF($C3000="","",IF(COUNTIF($C$2:$C3000,$C3000)=1,1,0))</f>
        <v/>
      </c>
    </row>
  </sheetData>
  <autoFilter ref="A1:P208"/>
  <dataValidations count="1">
    <dataValidation sqref="B2:B3000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>
      <c r="A1" s="12" t="inlineStr">
        <is>
          <t>MGL UNIT-7 - DWM MATRIX (auto-calculated live from 'MS PRODUCTION LOG' tab - don't type numbers here)</t>
        </is>
      </c>
    </row>
    <row r="2">
      <c r="A2" s="13" t="inlineStr">
        <is>
          <t>Month Start (change only this cell each month):</t>
        </is>
      </c>
      <c r="G2" s="14" t="n">
        <v>46266</v>
      </c>
    </row>
    <row r="4">
      <c r="A4" s="1" t="inlineStr">
        <is>
          <t>FURNACE</t>
        </is>
      </c>
      <c r="B4" s="1" t="inlineStr">
        <is>
          <t>SQF No</t>
        </is>
      </c>
      <c r="C4" s="1" t="inlineStr">
        <is>
          <t>Capacity (T)</t>
        </is>
      </c>
      <c r="D4" s="1" t="inlineStr">
        <is>
          <t>Month Target (T)</t>
        </is>
      </c>
      <c r="E4" s="1" t="inlineStr">
        <is>
          <t>Target MTD (T)</t>
        </is>
      </c>
      <c r="F4" s="1" t="inlineStr">
        <is>
          <t>Actual MTD (T)</t>
        </is>
      </c>
      <c r="G4" s="1" t="inlineStr">
        <is>
          <t>Util %</t>
        </is>
      </c>
      <c r="H4" s="15" t="n">
        <v>1</v>
      </c>
      <c r="I4" s="15" t="n">
        <v>2</v>
      </c>
      <c r="J4" s="15" t="n">
        <v>3</v>
      </c>
      <c r="K4" s="15" t="n">
        <v>4</v>
      </c>
      <c r="L4" s="15" t="n">
        <v>5</v>
      </c>
      <c r="M4" s="15" t="n">
        <v>6</v>
      </c>
      <c r="N4" s="15" t="n">
        <v>7</v>
      </c>
      <c r="O4" s="15" t="n">
        <v>8</v>
      </c>
      <c r="P4" s="15" t="n">
        <v>9</v>
      </c>
      <c r="Q4" s="15" t="n">
        <v>10</v>
      </c>
      <c r="R4" s="15" t="n">
        <v>11</v>
      </c>
      <c r="S4" s="15" t="n">
        <v>12</v>
      </c>
      <c r="T4" s="15" t="n">
        <v>13</v>
      </c>
      <c r="U4" s="15" t="n">
        <v>14</v>
      </c>
      <c r="V4" s="15" t="n">
        <v>15</v>
      </c>
      <c r="W4" s="15" t="n">
        <v>16</v>
      </c>
      <c r="X4" s="15" t="n">
        <v>17</v>
      </c>
      <c r="Y4" s="15" t="n">
        <v>18</v>
      </c>
      <c r="Z4" s="15" t="n">
        <v>19</v>
      </c>
      <c r="AA4" s="15" t="n">
        <v>20</v>
      </c>
      <c r="AB4" s="15" t="n">
        <v>21</v>
      </c>
      <c r="AC4" s="15" t="n">
        <v>22</v>
      </c>
      <c r="AD4" s="15" t="n">
        <v>23</v>
      </c>
      <c r="AE4" s="15" t="n">
        <v>24</v>
      </c>
      <c r="AF4" s="15" t="n">
        <v>25</v>
      </c>
      <c r="AG4" s="15" t="n">
        <v>26</v>
      </c>
      <c r="AH4" s="15" t="n">
        <v>27</v>
      </c>
      <c r="AI4" s="15" t="n">
        <v>28</v>
      </c>
      <c r="AJ4" s="15" t="n">
        <v>29</v>
      </c>
      <c r="AK4" s="15" t="n">
        <v>30</v>
      </c>
      <c r="AL4" s="15" t="n">
        <v>31</v>
      </c>
    </row>
    <row r="5">
      <c r="A5" s="16" t="inlineStr">
        <is>
          <t>SQF-1</t>
        </is>
      </c>
      <c r="B5" s="3" t="n">
        <v>1</v>
      </c>
      <c r="C5" s="3" t="n">
        <v>69.75</v>
      </c>
      <c r="D5" s="3" t="n">
        <v>69.75</v>
      </c>
      <c r="E5" s="3" t="n">
        <v>60</v>
      </c>
      <c r="F5" s="4">
        <f>SUM(H5:AL5)</f>
        <v/>
      </c>
      <c r="G5" s="17">
        <f>IFERROR(F5/E5,0)</f>
        <v/>
      </c>
      <c r="H5" s="4">
        <f>IF(H$4&lt;=DAY(EOMONTH($G$2,0)),IFERROR(SUMIFS('MS PRODUCTION LOG'!$G:$G,'MS PRODUCTION LOG'!$B:$B,$B5,'MS PRODUCTION LOG'!$A:$A,DATE(YEAR($G$2),MONTH($G$2),H$4))/1000,0),"")</f>
        <v/>
      </c>
      <c r="I5" s="4">
        <f>IF(I$4&lt;=DAY(EOMONTH($G$2,0)),IFERROR(SUMIFS('MS PRODUCTION LOG'!$G:$G,'MS PRODUCTION LOG'!$B:$B,$B5,'MS PRODUCTION LOG'!$A:$A,DATE(YEAR($G$2),MONTH($G$2),I$4))/1000,0),"")</f>
        <v/>
      </c>
      <c r="J5" s="4">
        <f>IF(J$4&lt;=DAY(EOMONTH($G$2,0)),IFERROR(SUMIFS('MS PRODUCTION LOG'!$G:$G,'MS PRODUCTION LOG'!$B:$B,$B5,'MS PRODUCTION LOG'!$A:$A,DATE(YEAR($G$2),MONTH($G$2),J$4))/1000,0),"")</f>
        <v/>
      </c>
      <c r="K5" s="4">
        <f>IF(K$4&lt;=DAY(EOMONTH($G$2,0)),IFERROR(SUMIFS('MS PRODUCTION LOG'!$G:$G,'MS PRODUCTION LOG'!$B:$B,$B5,'MS PRODUCTION LOG'!$A:$A,DATE(YEAR($G$2),MONTH($G$2),K$4))/1000,0),"")</f>
        <v/>
      </c>
      <c r="L5" s="4">
        <f>IF(L$4&lt;=DAY(EOMONTH($G$2,0)),IFERROR(SUMIFS('MS PRODUCTION LOG'!$G:$G,'MS PRODUCTION LOG'!$B:$B,$B5,'MS PRODUCTION LOG'!$A:$A,DATE(YEAR($G$2),MONTH($G$2),L$4))/1000,0),"")</f>
        <v/>
      </c>
      <c r="M5" s="4">
        <f>IF(M$4&lt;=DAY(EOMONTH($G$2,0)),IFERROR(SUMIFS('MS PRODUCTION LOG'!$G:$G,'MS PRODUCTION LOG'!$B:$B,$B5,'MS PRODUCTION LOG'!$A:$A,DATE(YEAR($G$2),MONTH($G$2),M$4))/1000,0),"")</f>
        <v/>
      </c>
      <c r="N5" s="4">
        <f>IF(N$4&lt;=DAY(EOMONTH($G$2,0)),IFERROR(SUMIFS('MS PRODUCTION LOG'!$G:$G,'MS PRODUCTION LOG'!$B:$B,$B5,'MS PRODUCTION LOG'!$A:$A,DATE(YEAR($G$2),MONTH($G$2),N$4))/1000,0),"")</f>
        <v/>
      </c>
      <c r="O5" s="4">
        <f>IF(O$4&lt;=DAY(EOMONTH($G$2,0)),IFERROR(SUMIFS('MS PRODUCTION LOG'!$G:$G,'MS PRODUCTION LOG'!$B:$B,$B5,'MS PRODUCTION LOG'!$A:$A,DATE(YEAR($G$2),MONTH($G$2),O$4))/1000,0),"")</f>
        <v/>
      </c>
      <c r="P5" s="4">
        <f>IF(P$4&lt;=DAY(EOMONTH($G$2,0)),IFERROR(SUMIFS('MS PRODUCTION LOG'!$G:$G,'MS PRODUCTION LOG'!$B:$B,$B5,'MS PRODUCTION LOG'!$A:$A,DATE(YEAR($G$2),MONTH($G$2),P$4))/1000,0),"")</f>
        <v/>
      </c>
      <c r="Q5" s="4">
        <f>IF(Q$4&lt;=DAY(EOMONTH($G$2,0)),IFERROR(SUMIFS('MS PRODUCTION LOG'!$G:$G,'MS PRODUCTION LOG'!$B:$B,$B5,'MS PRODUCTION LOG'!$A:$A,DATE(YEAR($G$2),MONTH($G$2),Q$4))/1000,0),"")</f>
        <v/>
      </c>
      <c r="R5" s="4">
        <f>IF(R$4&lt;=DAY(EOMONTH($G$2,0)),IFERROR(SUMIFS('MS PRODUCTION LOG'!$G:$G,'MS PRODUCTION LOG'!$B:$B,$B5,'MS PRODUCTION LOG'!$A:$A,DATE(YEAR($G$2),MONTH($G$2),R$4))/1000,0),"")</f>
        <v/>
      </c>
      <c r="S5" s="4">
        <f>IF(S$4&lt;=DAY(EOMONTH($G$2,0)),IFERROR(SUMIFS('MS PRODUCTION LOG'!$G:$G,'MS PRODUCTION LOG'!$B:$B,$B5,'MS PRODUCTION LOG'!$A:$A,DATE(YEAR($G$2),MONTH($G$2),S$4))/1000,0),"")</f>
        <v/>
      </c>
      <c r="T5" s="4">
        <f>IF(T$4&lt;=DAY(EOMONTH($G$2,0)),IFERROR(SUMIFS('MS PRODUCTION LOG'!$G:$G,'MS PRODUCTION LOG'!$B:$B,$B5,'MS PRODUCTION LOG'!$A:$A,DATE(YEAR($G$2),MONTH($G$2),T$4))/1000,0),"")</f>
        <v/>
      </c>
      <c r="U5" s="4">
        <f>IF(U$4&lt;=DAY(EOMONTH($G$2,0)),IFERROR(SUMIFS('MS PRODUCTION LOG'!$G:$G,'MS PRODUCTION LOG'!$B:$B,$B5,'MS PRODUCTION LOG'!$A:$A,DATE(YEAR($G$2),MONTH($G$2),U$4))/1000,0),"")</f>
        <v/>
      </c>
      <c r="V5" s="4">
        <f>IF(V$4&lt;=DAY(EOMONTH($G$2,0)),IFERROR(SUMIFS('MS PRODUCTION LOG'!$G:$G,'MS PRODUCTION LOG'!$B:$B,$B5,'MS PRODUCTION LOG'!$A:$A,DATE(YEAR($G$2),MONTH($G$2),V$4))/1000,0),"")</f>
        <v/>
      </c>
      <c r="W5" s="4">
        <f>IF(W$4&lt;=DAY(EOMONTH($G$2,0)),IFERROR(SUMIFS('MS PRODUCTION LOG'!$G:$G,'MS PRODUCTION LOG'!$B:$B,$B5,'MS PRODUCTION LOG'!$A:$A,DATE(YEAR($G$2),MONTH($G$2),W$4))/1000,0),"")</f>
        <v/>
      </c>
      <c r="X5" s="4">
        <f>IF(X$4&lt;=DAY(EOMONTH($G$2,0)),IFERROR(SUMIFS('MS PRODUCTION LOG'!$G:$G,'MS PRODUCTION LOG'!$B:$B,$B5,'MS PRODUCTION LOG'!$A:$A,DATE(YEAR($G$2),MONTH($G$2),X$4))/1000,0),"")</f>
        <v/>
      </c>
      <c r="Y5" s="4">
        <f>IF(Y$4&lt;=DAY(EOMONTH($G$2,0)),IFERROR(SUMIFS('MS PRODUCTION LOG'!$G:$G,'MS PRODUCTION LOG'!$B:$B,$B5,'MS PRODUCTION LOG'!$A:$A,DATE(YEAR($G$2),MONTH($G$2),Y$4))/1000,0),"")</f>
        <v/>
      </c>
      <c r="Z5" s="4">
        <f>IF(Z$4&lt;=DAY(EOMONTH($G$2,0)),IFERROR(SUMIFS('MS PRODUCTION LOG'!$G:$G,'MS PRODUCTION LOG'!$B:$B,$B5,'MS PRODUCTION LOG'!$A:$A,DATE(YEAR($G$2),MONTH($G$2),Z$4))/1000,0),"")</f>
        <v/>
      </c>
      <c r="AA5" s="4">
        <f>IF(AA$4&lt;=DAY(EOMONTH($G$2,0)),IFERROR(SUMIFS('MS PRODUCTION LOG'!$G:$G,'MS PRODUCTION LOG'!$B:$B,$B5,'MS PRODUCTION LOG'!$A:$A,DATE(YEAR($G$2),MONTH($G$2),AA$4))/1000,0),"")</f>
        <v/>
      </c>
      <c r="AB5" s="4">
        <f>IF(AB$4&lt;=DAY(EOMONTH($G$2,0)),IFERROR(SUMIFS('MS PRODUCTION LOG'!$G:$G,'MS PRODUCTION LOG'!$B:$B,$B5,'MS PRODUCTION LOG'!$A:$A,DATE(YEAR($G$2),MONTH($G$2),AB$4))/1000,0),"")</f>
        <v/>
      </c>
      <c r="AC5" s="4">
        <f>IF(AC$4&lt;=DAY(EOMONTH($G$2,0)),IFERROR(SUMIFS('MS PRODUCTION LOG'!$G:$G,'MS PRODUCTION LOG'!$B:$B,$B5,'MS PRODUCTION LOG'!$A:$A,DATE(YEAR($G$2),MONTH($G$2),AC$4))/1000,0),"")</f>
        <v/>
      </c>
      <c r="AD5" s="4">
        <f>IF(AD$4&lt;=DAY(EOMONTH($G$2,0)),IFERROR(SUMIFS('MS PRODUCTION LOG'!$G:$G,'MS PRODUCTION LOG'!$B:$B,$B5,'MS PRODUCTION LOG'!$A:$A,DATE(YEAR($G$2),MONTH($G$2),AD$4))/1000,0),"")</f>
        <v/>
      </c>
      <c r="AE5" s="4">
        <f>IF(AE$4&lt;=DAY(EOMONTH($G$2,0)),IFERROR(SUMIFS('MS PRODUCTION LOG'!$G:$G,'MS PRODUCTION LOG'!$B:$B,$B5,'MS PRODUCTION LOG'!$A:$A,DATE(YEAR($G$2),MONTH($G$2),AE$4))/1000,0),"")</f>
        <v/>
      </c>
      <c r="AF5" s="4">
        <f>IF(AF$4&lt;=DAY(EOMONTH($G$2,0)),IFERROR(SUMIFS('MS PRODUCTION LOG'!$G:$G,'MS PRODUCTION LOG'!$B:$B,$B5,'MS PRODUCTION LOG'!$A:$A,DATE(YEAR($G$2),MONTH($G$2),AF$4))/1000,0),"")</f>
        <v/>
      </c>
      <c r="AG5" s="4">
        <f>IF(AG$4&lt;=DAY(EOMONTH($G$2,0)),IFERROR(SUMIFS('MS PRODUCTION LOG'!$G:$G,'MS PRODUCTION LOG'!$B:$B,$B5,'MS PRODUCTION LOG'!$A:$A,DATE(YEAR($G$2),MONTH($G$2),AG$4))/1000,0),"")</f>
        <v/>
      </c>
      <c r="AH5" s="4">
        <f>IF(AH$4&lt;=DAY(EOMONTH($G$2,0)),IFERROR(SUMIFS('MS PRODUCTION LOG'!$G:$G,'MS PRODUCTION LOG'!$B:$B,$B5,'MS PRODUCTION LOG'!$A:$A,DATE(YEAR($G$2),MONTH($G$2),AH$4))/1000,0),"")</f>
        <v/>
      </c>
      <c r="AI5" s="4">
        <f>IF(AI$4&lt;=DAY(EOMONTH($G$2,0)),IFERROR(SUMIFS('MS PRODUCTION LOG'!$G:$G,'MS PRODUCTION LOG'!$B:$B,$B5,'MS PRODUCTION LOG'!$A:$A,DATE(YEAR($G$2),MONTH($G$2),AI$4))/1000,0),"")</f>
        <v/>
      </c>
      <c r="AJ5" s="4">
        <f>IF(AJ$4&lt;=DAY(EOMONTH($G$2,0)),IFERROR(SUMIFS('MS PRODUCTION LOG'!$G:$G,'MS PRODUCTION LOG'!$B:$B,$B5,'MS PRODUCTION LOG'!$A:$A,DATE(YEAR($G$2),MONTH($G$2),AJ$4))/1000,0),"")</f>
        <v/>
      </c>
      <c r="AK5" s="4">
        <f>IF(AK$4&lt;=DAY(EOMONTH($G$2,0)),IFERROR(SUMIFS('MS PRODUCTION LOG'!$G:$G,'MS PRODUCTION LOG'!$B:$B,$B5,'MS PRODUCTION LOG'!$A:$A,DATE(YEAR($G$2),MONTH($G$2),AK$4))/1000,0),"")</f>
        <v/>
      </c>
      <c r="AL5" s="4">
        <f>IF(AL$4&lt;=DAY(EOMONTH($G$2,0)),IFERROR(SUMIFS('MS PRODUCTION LOG'!$G:$G,'MS PRODUCTION LOG'!$B:$B,$B5,'MS PRODUCTION LOG'!$A:$A,DATE(YEAR($G$2),MONTH($G$2),AL$4))/1000,0),"")</f>
        <v/>
      </c>
    </row>
    <row r="6">
      <c r="A6" s="16" t="inlineStr">
        <is>
          <t>SQF-2</t>
        </is>
      </c>
      <c r="B6" s="3" t="n">
        <v>2</v>
      </c>
      <c r="C6" s="3" t="n">
        <v>69.75</v>
      </c>
      <c r="D6" s="3" t="n">
        <v>69.75</v>
      </c>
      <c r="E6" s="3" t="n">
        <v>60</v>
      </c>
      <c r="F6" s="4">
        <f>SUM(H6:AL6)</f>
        <v/>
      </c>
      <c r="G6" s="17">
        <f>IFERROR(F6/E6,0)</f>
        <v/>
      </c>
      <c r="H6" s="4">
        <f>IF(H$4&lt;=DAY(EOMONTH($G$2,0)),IFERROR(SUMIFS('MS PRODUCTION LOG'!$G:$G,'MS PRODUCTION LOG'!$B:$B,$B6,'MS PRODUCTION LOG'!$A:$A,DATE(YEAR($G$2),MONTH($G$2),H$4))/1000,0),"")</f>
        <v/>
      </c>
      <c r="I6" s="4">
        <f>IF(I$4&lt;=DAY(EOMONTH($G$2,0)),IFERROR(SUMIFS('MS PRODUCTION LOG'!$G:$G,'MS PRODUCTION LOG'!$B:$B,$B6,'MS PRODUCTION LOG'!$A:$A,DATE(YEAR($G$2),MONTH($G$2),I$4))/1000,0),"")</f>
        <v/>
      </c>
      <c r="J6" s="4">
        <f>IF(J$4&lt;=DAY(EOMONTH($G$2,0)),IFERROR(SUMIFS('MS PRODUCTION LOG'!$G:$G,'MS PRODUCTION LOG'!$B:$B,$B6,'MS PRODUCTION LOG'!$A:$A,DATE(YEAR($G$2),MONTH($G$2),J$4))/1000,0),"")</f>
        <v/>
      </c>
      <c r="K6" s="4">
        <f>IF(K$4&lt;=DAY(EOMONTH($G$2,0)),IFERROR(SUMIFS('MS PRODUCTION LOG'!$G:$G,'MS PRODUCTION LOG'!$B:$B,$B6,'MS PRODUCTION LOG'!$A:$A,DATE(YEAR($G$2),MONTH($G$2),K$4))/1000,0),"")</f>
        <v/>
      </c>
      <c r="L6" s="4">
        <f>IF(L$4&lt;=DAY(EOMONTH($G$2,0)),IFERROR(SUMIFS('MS PRODUCTION LOG'!$G:$G,'MS PRODUCTION LOG'!$B:$B,$B6,'MS PRODUCTION LOG'!$A:$A,DATE(YEAR($G$2),MONTH($G$2),L$4))/1000,0),"")</f>
        <v/>
      </c>
      <c r="M6" s="4">
        <f>IF(M$4&lt;=DAY(EOMONTH($G$2,0)),IFERROR(SUMIFS('MS PRODUCTION LOG'!$G:$G,'MS PRODUCTION LOG'!$B:$B,$B6,'MS PRODUCTION LOG'!$A:$A,DATE(YEAR($G$2),MONTH($G$2),M$4))/1000,0),"")</f>
        <v/>
      </c>
      <c r="N6" s="4">
        <f>IF(N$4&lt;=DAY(EOMONTH($G$2,0)),IFERROR(SUMIFS('MS PRODUCTION LOG'!$G:$G,'MS PRODUCTION LOG'!$B:$B,$B6,'MS PRODUCTION LOG'!$A:$A,DATE(YEAR($G$2),MONTH($G$2),N$4))/1000,0),"")</f>
        <v/>
      </c>
      <c r="O6" s="4">
        <f>IF(O$4&lt;=DAY(EOMONTH($G$2,0)),IFERROR(SUMIFS('MS PRODUCTION LOG'!$G:$G,'MS PRODUCTION LOG'!$B:$B,$B6,'MS PRODUCTION LOG'!$A:$A,DATE(YEAR($G$2),MONTH($G$2),O$4))/1000,0),"")</f>
        <v/>
      </c>
      <c r="P6" s="4">
        <f>IF(P$4&lt;=DAY(EOMONTH($G$2,0)),IFERROR(SUMIFS('MS PRODUCTION LOG'!$G:$G,'MS PRODUCTION LOG'!$B:$B,$B6,'MS PRODUCTION LOG'!$A:$A,DATE(YEAR($G$2),MONTH($G$2),P$4))/1000,0),"")</f>
        <v/>
      </c>
      <c r="Q6" s="4">
        <f>IF(Q$4&lt;=DAY(EOMONTH($G$2,0)),IFERROR(SUMIFS('MS PRODUCTION LOG'!$G:$G,'MS PRODUCTION LOG'!$B:$B,$B6,'MS PRODUCTION LOG'!$A:$A,DATE(YEAR($G$2),MONTH($G$2),Q$4))/1000,0),"")</f>
        <v/>
      </c>
      <c r="R6" s="4">
        <f>IF(R$4&lt;=DAY(EOMONTH($G$2,0)),IFERROR(SUMIFS('MS PRODUCTION LOG'!$G:$G,'MS PRODUCTION LOG'!$B:$B,$B6,'MS PRODUCTION LOG'!$A:$A,DATE(YEAR($G$2),MONTH($G$2),R$4))/1000,0),"")</f>
        <v/>
      </c>
      <c r="S6" s="4">
        <f>IF(S$4&lt;=DAY(EOMONTH($G$2,0)),IFERROR(SUMIFS('MS PRODUCTION LOG'!$G:$G,'MS PRODUCTION LOG'!$B:$B,$B6,'MS PRODUCTION LOG'!$A:$A,DATE(YEAR($G$2),MONTH($G$2),S$4))/1000,0),"")</f>
        <v/>
      </c>
      <c r="T6" s="4">
        <f>IF(T$4&lt;=DAY(EOMONTH($G$2,0)),IFERROR(SUMIFS('MS PRODUCTION LOG'!$G:$G,'MS PRODUCTION LOG'!$B:$B,$B6,'MS PRODUCTION LOG'!$A:$A,DATE(YEAR($G$2),MONTH($G$2),T$4))/1000,0),"")</f>
        <v/>
      </c>
      <c r="U6" s="4">
        <f>IF(U$4&lt;=DAY(EOMONTH($G$2,0)),IFERROR(SUMIFS('MS PRODUCTION LOG'!$G:$G,'MS PRODUCTION LOG'!$B:$B,$B6,'MS PRODUCTION LOG'!$A:$A,DATE(YEAR($G$2),MONTH($G$2),U$4))/1000,0),"")</f>
        <v/>
      </c>
      <c r="V6" s="4">
        <f>IF(V$4&lt;=DAY(EOMONTH($G$2,0)),IFERROR(SUMIFS('MS PRODUCTION LOG'!$G:$G,'MS PRODUCTION LOG'!$B:$B,$B6,'MS PRODUCTION LOG'!$A:$A,DATE(YEAR($G$2),MONTH($G$2),V$4))/1000,0),"")</f>
        <v/>
      </c>
      <c r="W6" s="4">
        <f>IF(W$4&lt;=DAY(EOMONTH($G$2,0)),IFERROR(SUMIFS('MS PRODUCTION LOG'!$G:$G,'MS PRODUCTION LOG'!$B:$B,$B6,'MS PRODUCTION LOG'!$A:$A,DATE(YEAR($G$2),MONTH($G$2),W$4))/1000,0),"")</f>
        <v/>
      </c>
      <c r="X6" s="4">
        <f>IF(X$4&lt;=DAY(EOMONTH($G$2,0)),IFERROR(SUMIFS('MS PRODUCTION LOG'!$G:$G,'MS PRODUCTION LOG'!$B:$B,$B6,'MS PRODUCTION LOG'!$A:$A,DATE(YEAR($G$2),MONTH($G$2),X$4))/1000,0),"")</f>
        <v/>
      </c>
      <c r="Y6" s="4">
        <f>IF(Y$4&lt;=DAY(EOMONTH($G$2,0)),IFERROR(SUMIFS('MS PRODUCTION LOG'!$G:$G,'MS PRODUCTION LOG'!$B:$B,$B6,'MS PRODUCTION LOG'!$A:$A,DATE(YEAR($G$2),MONTH($G$2),Y$4))/1000,0),"")</f>
        <v/>
      </c>
      <c r="Z6" s="4">
        <f>IF(Z$4&lt;=DAY(EOMONTH($G$2,0)),IFERROR(SUMIFS('MS PRODUCTION LOG'!$G:$G,'MS PRODUCTION LOG'!$B:$B,$B6,'MS PRODUCTION LOG'!$A:$A,DATE(YEAR($G$2),MONTH($G$2),Z$4))/1000,0),"")</f>
        <v/>
      </c>
      <c r="AA6" s="4">
        <f>IF(AA$4&lt;=DAY(EOMONTH($G$2,0)),IFERROR(SUMIFS('MS PRODUCTION LOG'!$G:$G,'MS PRODUCTION LOG'!$B:$B,$B6,'MS PRODUCTION LOG'!$A:$A,DATE(YEAR($G$2),MONTH($G$2),AA$4))/1000,0),"")</f>
        <v/>
      </c>
      <c r="AB6" s="4">
        <f>IF(AB$4&lt;=DAY(EOMONTH($G$2,0)),IFERROR(SUMIFS('MS PRODUCTION LOG'!$G:$G,'MS PRODUCTION LOG'!$B:$B,$B6,'MS PRODUCTION LOG'!$A:$A,DATE(YEAR($G$2),MONTH($G$2),AB$4))/1000,0),"")</f>
        <v/>
      </c>
      <c r="AC6" s="4">
        <f>IF(AC$4&lt;=DAY(EOMONTH($G$2,0)),IFERROR(SUMIFS('MS PRODUCTION LOG'!$G:$G,'MS PRODUCTION LOG'!$B:$B,$B6,'MS PRODUCTION LOG'!$A:$A,DATE(YEAR($G$2),MONTH($G$2),AC$4))/1000,0),"")</f>
        <v/>
      </c>
      <c r="AD6" s="4">
        <f>IF(AD$4&lt;=DAY(EOMONTH($G$2,0)),IFERROR(SUMIFS('MS PRODUCTION LOG'!$G:$G,'MS PRODUCTION LOG'!$B:$B,$B6,'MS PRODUCTION LOG'!$A:$A,DATE(YEAR($G$2),MONTH($G$2),AD$4))/1000,0),"")</f>
        <v/>
      </c>
      <c r="AE6" s="4">
        <f>IF(AE$4&lt;=DAY(EOMONTH($G$2,0)),IFERROR(SUMIFS('MS PRODUCTION LOG'!$G:$G,'MS PRODUCTION LOG'!$B:$B,$B6,'MS PRODUCTION LOG'!$A:$A,DATE(YEAR($G$2),MONTH($G$2),AE$4))/1000,0),"")</f>
        <v/>
      </c>
      <c r="AF6" s="4">
        <f>IF(AF$4&lt;=DAY(EOMONTH($G$2,0)),IFERROR(SUMIFS('MS PRODUCTION LOG'!$G:$G,'MS PRODUCTION LOG'!$B:$B,$B6,'MS PRODUCTION LOG'!$A:$A,DATE(YEAR($G$2),MONTH($G$2),AF$4))/1000,0),"")</f>
        <v/>
      </c>
      <c r="AG6" s="4">
        <f>IF(AG$4&lt;=DAY(EOMONTH($G$2,0)),IFERROR(SUMIFS('MS PRODUCTION LOG'!$G:$G,'MS PRODUCTION LOG'!$B:$B,$B6,'MS PRODUCTION LOG'!$A:$A,DATE(YEAR($G$2),MONTH($G$2),AG$4))/1000,0),"")</f>
        <v/>
      </c>
      <c r="AH6" s="4">
        <f>IF(AH$4&lt;=DAY(EOMONTH($G$2,0)),IFERROR(SUMIFS('MS PRODUCTION LOG'!$G:$G,'MS PRODUCTION LOG'!$B:$B,$B6,'MS PRODUCTION LOG'!$A:$A,DATE(YEAR($G$2),MONTH($G$2),AH$4))/1000,0),"")</f>
        <v/>
      </c>
      <c r="AI6" s="4">
        <f>IF(AI$4&lt;=DAY(EOMONTH($G$2,0)),IFERROR(SUMIFS('MS PRODUCTION LOG'!$G:$G,'MS PRODUCTION LOG'!$B:$B,$B6,'MS PRODUCTION LOG'!$A:$A,DATE(YEAR($G$2),MONTH($G$2),AI$4))/1000,0),"")</f>
        <v/>
      </c>
      <c r="AJ6" s="4">
        <f>IF(AJ$4&lt;=DAY(EOMONTH($G$2,0)),IFERROR(SUMIFS('MS PRODUCTION LOG'!$G:$G,'MS PRODUCTION LOG'!$B:$B,$B6,'MS PRODUCTION LOG'!$A:$A,DATE(YEAR($G$2),MONTH($G$2),AJ$4))/1000,0),"")</f>
        <v/>
      </c>
      <c r="AK6" s="4">
        <f>IF(AK$4&lt;=DAY(EOMONTH($G$2,0)),IFERROR(SUMIFS('MS PRODUCTION LOG'!$G:$G,'MS PRODUCTION LOG'!$B:$B,$B6,'MS PRODUCTION LOG'!$A:$A,DATE(YEAR($G$2),MONTH($G$2),AK$4))/1000,0),"")</f>
        <v/>
      </c>
      <c r="AL6" s="4">
        <f>IF(AL$4&lt;=DAY(EOMONTH($G$2,0)),IFERROR(SUMIFS('MS PRODUCTION LOG'!$G:$G,'MS PRODUCTION LOG'!$B:$B,$B6,'MS PRODUCTION LOG'!$A:$A,DATE(YEAR($G$2),MONTH($G$2),AL$4))/1000,0),"")</f>
        <v/>
      </c>
    </row>
    <row r="7">
      <c r="A7" s="16" t="inlineStr">
        <is>
          <t>SQF-3</t>
        </is>
      </c>
      <c r="B7" s="3" t="n">
        <v>3</v>
      </c>
      <c r="C7" s="3" t="n">
        <v>69.75</v>
      </c>
      <c r="D7" s="3" t="n">
        <v>69.75</v>
      </c>
      <c r="E7" s="3" t="n">
        <v>60</v>
      </c>
      <c r="F7" s="4">
        <f>SUM(H7:AL7)</f>
        <v/>
      </c>
      <c r="G7" s="17">
        <f>IFERROR(F7/E7,0)</f>
        <v/>
      </c>
      <c r="H7" s="4">
        <f>IF(H$4&lt;=DAY(EOMONTH($G$2,0)),IFERROR(SUMIFS('MS PRODUCTION LOG'!$G:$G,'MS PRODUCTION LOG'!$B:$B,$B7,'MS PRODUCTION LOG'!$A:$A,DATE(YEAR($G$2),MONTH($G$2),H$4))/1000,0),"")</f>
        <v/>
      </c>
      <c r="I7" s="4">
        <f>IF(I$4&lt;=DAY(EOMONTH($G$2,0)),IFERROR(SUMIFS('MS PRODUCTION LOG'!$G:$G,'MS PRODUCTION LOG'!$B:$B,$B7,'MS PRODUCTION LOG'!$A:$A,DATE(YEAR($G$2),MONTH($G$2),I$4))/1000,0),"")</f>
        <v/>
      </c>
      <c r="J7" s="4">
        <f>IF(J$4&lt;=DAY(EOMONTH($G$2,0)),IFERROR(SUMIFS('MS PRODUCTION LOG'!$G:$G,'MS PRODUCTION LOG'!$B:$B,$B7,'MS PRODUCTION LOG'!$A:$A,DATE(YEAR($G$2),MONTH($G$2),J$4))/1000,0),"")</f>
        <v/>
      </c>
      <c r="K7" s="4">
        <f>IF(K$4&lt;=DAY(EOMONTH($G$2,0)),IFERROR(SUMIFS('MS PRODUCTION LOG'!$G:$G,'MS PRODUCTION LOG'!$B:$B,$B7,'MS PRODUCTION LOG'!$A:$A,DATE(YEAR($G$2),MONTH($G$2),K$4))/1000,0),"")</f>
        <v/>
      </c>
      <c r="L7" s="4">
        <f>IF(L$4&lt;=DAY(EOMONTH($G$2,0)),IFERROR(SUMIFS('MS PRODUCTION LOG'!$G:$G,'MS PRODUCTION LOG'!$B:$B,$B7,'MS PRODUCTION LOG'!$A:$A,DATE(YEAR($G$2),MONTH($G$2),L$4))/1000,0),"")</f>
        <v/>
      </c>
      <c r="M7" s="4">
        <f>IF(M$4&lt;=DAY(EOMONTH($G$2,0)),IFERROR(SUMIFS('MS PRODUCTION LOG'!$G:$G,'MS PRODUCTION LOG'!$B:$B,$B7,'MS PRODUCTION LOG'!$A:$A,DATE(YEAR($G$2),MONTH($G$2),M$4))/1000,0),"")</f>
        <v/>
      </c>
      <c r="N7" s="4">
        <f>IF(N$4&lt;=DAY(EOMONTH($G$2,0)),IFERROR(SUMIFS('MS PRODUCTION LOG'!$G:$G,'MS PRODUCTION LOG'!$B:$B,$B7,'MS PRODUCTION LOG'!$A:$A,DATE(YEAR($G$2),MONTH($G$2),N$4))/1000,0),"")</f>
        <v/>
      </c>
      <c r="O7" s="4">
        <f>IF(O$4&lt;=DAY(EOMONTH($G$2,0)),IFERROR(SUMIFS('MS PRODUCTION LOG'!$G:$G,'MS PRODUCTION LOG'!$B:$B,$B7,'MS PRODUCTION LOG'!$A:$A,DATE(YEAR($G$2),MONTH($G$2),O$4))/1000,0),"")</f>
        <v/>
      </c>
      <c r="P7" s="4">
        <f>IF(P$4&lt;=DAY(EOMONTH($G$2,0)),IFERROR(SUMIFS('MS PRODUCTION LOG'!$G:$G,'MS PRODUCTION LOG'!$B:$B,$B7,'MS PRODUCTION LOG'!$A:$A,DATE(YEAR($G$2),MONTH($G$2),P$4))/1000,0),"")</f>
        <v/>
      </c>
      <c r="Q7" s="4">
        <f>IF(Q$4&lt;=DAY(EOMONTH($G$2,0)),IFERROR(SUMIFS('MS PRODUCTION LOG'!$G:$G,'MS PRODUCTION LOG'!$B:$B,$B7,'MS PRODUCTION LOG'!$A:$A,DATE(YEAR($G$2),MONTH($G$2),Q$4))/1000,0),"")</f>
        <v/>
      </c>
      <c r="R7" s="4">
        <f>IF(R$4&lt;=DAY(EOMONTH($G$2,0)),IFERROR(SUMIFS('MS PRODUCTION LOG'!$G:$G,'MS PRODUCTION LOG'!$B:$B,$B7,'MS PRODUCTION LOG'!$A:$A,DATE(YEAR($G$2),MONTH($G$2),R$4))/1000,0),"")</f>
        <v/>
      </c>
      <c r="S7" s="4">
        <f>IF(S$4&lt;=DAY(EOMONTH($G$2,0)),IFERROR(SUMIFS('MS PRODUCTION LOG'!$G:$G,'MS PRODUCTION LOG'!$B:$B,$B7,'MS PRODUCTION LOG'!$A:$A,DATE(YEAR($G$2),MONTH($G$2),S$4))/1000,0),"")</f>
        <v/>
      </c>
      <c r="T7" s="4">
        <f>IF(T$4&lt;=DAY(EOMONTH($G$2,0)),IFERROR(SUMIFS('MS PRODUCTION LOG'!$G:$G,'MS PRODUCTION LOG'!$B:$B,$B7,'MS PRODUCTION LOG'!$A:$A,DATE(YEAR($G$2),MONTH($G$2),T$4))/1000,0),"")</f>
        <v/>
      </c>
      <c r="U7" s="4">
        <f>IF(U$4&lt;=DAY(EOMONTH($G$2,0)),IFERROR(SUMIFS('MS PRODUCTION LOG'!$G:$G,'MS PRODUCTION LOG'!$B:$B,$B7,'MS PRODUCTION LOG'!$A:$A,DATE(YEAR($G$2),MONTH($G$2),U$4))/1000,0),"")</f>
        <v/>
      </c>
      <c r="V7" s="4">
        <f>IF(V$4&lt;=DAY(EOMONTH($G$2,0)),IFERROR(SUMIFS('MS PRODUCTION LOG'!$G:$G,'MS PRODUCTION LOG'!$B:$B,$B7,'MS PRODUCTION LOG'!$A:$A,DATE(YEAR($G$2),MONTH($G$2),V$4))/1000,0),"")</f>
        <v/>
      </c>
      <c r="W7" s="4">
        <f>IF(W$4&lt;=DAY(EOMONTH($G$2,0)),IFERROR(SUMIFS('MS PRODUCTION LOG'!$G:$G,'MS PRODUCTION LOG'!$B:$B,$B7,'MS PRODUCTION LOG'!$A:$A,DATE(YEAR($G$2),MONTH($G$2),W$4))/1000,0),"")</f>
        <v/>
      </c>
      <c r="X7" s="4">
        <f>IF(X$4&lt;=DAY(EOMONTH($G$2,0)),IFERROR(SUMIFS('MS PRODUCTION LOG'!$G:$G,'MS PRODUCTION LOG'!$B:$B,$B7,'MS PRODUCTION LOG'!$A:$A,DATE(YEAR($G$2),MONTH($G$2),X$4))/1000,0),"")</f>
        <v/>
      </c>
      <c r="Y7" s="4">
        <f>IF(Y$4&lt;=DAY(EOMONTH($G$2,0)),IFERROR(SUMIFS('MS PRODUCTION LOG'!$G:$G,'MS PRODUCTION LOG'!$B:$B,$B7,'MS PRODUCTION LOG'!$A:$A,DATE(YEAR($G$2),MONTH($G$2),Y$4))/1000,0),"")</f>
        <v/>
      </c>
      <c r="Z7" s="4">
        <f>IF(Z$4&lt;=DAY(EOMONTH($G$2,0)),IFERROR(SUMIFS('MS PRODUCTION LOG'!$G:$G,'MS PRODUCTION LOG'!$B:$B,$B7,'MS PRODUCTION LOG'!$A:$A,DATE(YEAR($G$2),MONTH($G$2),Z$4))/1000,0),"")</f>
        <v/>
      </c>
      <c r="AA7" s="4">
        <f>IF(AA$4&lt;=DAY(EOMONTH($G$2,0)),IFERROR(SUMIFS('MS PRODUCTION LOG'!$G:$G,'MS PRODUCTION LOG'!$B:$B,$B7,'MS PRODUCTION LOG'!$A:$A,DATE(YEAR($G$2),MONTH($G$2),AA$4))/1000,0),"")</f>
        <v/>
      </c>
      <c r="AB7" s="4">
        <f>IF(AB$4&lt;=DAY(EOMONTH($G$2,0)),IFERROR(SUMIFS('MS PRODUCTION LOG'!$G:$G,'MS PRODUCTION LOG'!$B:$B,$B7,'MS PRODUCTION LOG'!$A:$A,DATE(YEAR($G$2),MONTH($G$2),AB$4))/1000,0),"")</f>
        <v/>
      </c>
      <c r="AC7" s="4">
        <f>IF(AC$4&lt;=DAY(EOMONTH($G$2,0)),IFERROR(SUMIFS('MS PRODUCTION LOG'!$G:$G,'MS PRODUCTION LOG'!$B:$B,$B7,'MS PRODUCTION LOG'!$A:$A,DATE(YEAR($G$2),MONTH($G$2),AC$4))/1000,0),"")</f>
        <v/>
      </c>
      <c r="AD7" s="4">
        <f>IF(AD$4&lt;=DAY(EOMONTH($G$2,0)),IFERROR(SUMIFS('MS PRODUCTION LOG'!$G:$G,'MS PRODUCTION LOG'!$B:$B,$B7,'MS PRODUCTION LOG'!$A:$A,DATE(YEAR($G$2),MONTH($G$2),AD$4))/1000,0),"")</f>
        <v/>
      </c>
      <c r="AE7" s="4">
        <f>IF(AE$4&lt;=DAY(EOMONTH($G$2,0)),IFERROR(SUMIFS('MS PRODUCTION LOG'!$G:$G,'MS PRODUCTION LOG'!$B:$B,$B7,'MS PRODUCTION LOG'!$A:$A,DATE(YEAR($G$2),MONTH($G$2),AE$4))/1000,0),"")</f>
        <v/>
      </c>
      <c r="AF7" s="4">
        <f>IF(AF$4&lt;=DAY(EOMONTH($G$2,0)),IFERROR(SUMIFS('MS PRODUCTION LOG'!$G:$G,'MS PRODUCTION LOG'!$B:$B,$B7,'MS PRODUCTION LOG'!$A:$A,DATE(YEAR($G$2),MONTH($G$2),AF$4))/1000,0),"")</f>
        <v/>
      </c>
      <c r="AG7" s="4">
        <f>IF(AG$4&lt;=DAY(EOMONTH($G$2,0)),IFERROR(SUMIFS('MS PRODUCTION LOG'!$G:$G,'MS PRODUCTION LOG'!$B:$B,$B7,'MS PRODUCTION LOG'!$A:$A,DATE(YEAR($G$2),MONTH($G$2),AG$4))/1000,0),"")</f>
        <v/>
      </c>
      <c r="AH7" s="4">
        <f>IF(AH$4&lt;=DAY(EOMONTH($G$2,0)),IFERROR(SUMIFS('MS PRODUCTION LOG'!$G:$G,'MS PRODUCTION LOG'!$B:$B,$B7,'MS PRODUCTION LOG'!$A:$A,DATE(YEAR($G$2),MONTH($G$2),AH$4))/1000,0),"")</f>
        <v/>
      </c>
      <c r="AI7" s="4">
        <f>IF(AI$4&lt;=DAY(EOMONTH($G$2,0)),IFERROR(SUMIFS('MS PRODUCTION LOG'!$G:$G,'MS PRODUCTION LOG'!$B:$B,$B7,'MS PRODUCTION LOG'!$A:$A,DATE(YEAR($G$2),MONTH($G$2),AI$4))/1000,0),"")</f>
        <v/>
      </c>
      <c r="AJ7" s="4">
        <f>IF(AJ$4&lt;=DAY(EOMONTH($G$2,0)),IFERROR(SUMIFS('MS PRODUCTION LOG'!$G:$G,'MS PRODUCTION LOG'!$B:$B,$B7,'MS PRODUCTION LOG'!$A:$A,DATE(YEAR($G$2),MONTH($G$2),AJ$4))/1000,0),"")</f>
        <v/>
      </c>
      <c r="AK7" s="4">
        <f>IF(AK$4&lt;=DAY(EOMONTH($G$2,0)),IFERROR(SUMIFS('MS PRODUCTION LOG'!$G:$G,'MS PRODUCTION LOG'!$B:$B,$B7,'MS PRODUCTION LOG'!$A:$A,DATE(YEAR($G$2),MONTH($G$2),AK$4))/1000,0),"")</f>
        <v/>
      </c>
      <c r="AL7" s="4">
        <f>IF(AL$4&lt;=DAY(EOMONTH($G$2,0)),IFERROR(SUMIFS('MS PRODUCTION LOG'!$G:$G,'MS PRODUCTION LOG'!$B:$B,$B7,'MS PRODUCTION LOG'!$A:$A,DATE(YEAR($G$2),MONTH($G$2),AL$4))/1000,0),"")</f>
        <v/>
      </c>
    </row>
    <row r="8">
      <c r="A8" s="16" t="inlineStr">
        <is>
          <t>SQF-4</t>
        </is>
      </c>
      <c r="B8" s="3" t="n">
        <v>4</v>
      </c>
      <c r="C8" s="3" t="n">
        <v>69.75</v>
      </c>
      <c r="D8" s="3" t="n">
        <v>69.75</v>
      </c>
      <c r="E8" s="3" t="n">
        <v>60</v>
      </c>
      <c r="F8" s="4">
        <f>SUM(H8:AL8)</f>
        <v/>
      </c>
      <c r="G8" s="17">
        <f>IFERROR(F8/E8,0)</f>
        <v/>
      </c>
      <c r="H8" s="4">
        <f>IF(H$4&lt;=DAY(EOMONTH($G$2,0)),IFERROR(SUMIFS('MS PRODUCTION LOG'!$G:$G,'MS PRODUCTION LOG'!$B:$B,$B8,'MS PRODUCTION LOG'!$A:$A,DATE(YEAR($G$2),MONTH($G$2),H$4))/1000,0),"")</f>
        <v/>
      </c>
      <c r="I8" s="4">
        <f>IF(I$4&lt;=DAY(EOMONTH($G$2,0)),IFERROR(SUMIFS('MS PRODUCTION LOG'!$G:$G,'MS PRODUCTION LOG'!$B:$B,$B8,'MS PRODUCTION LOG'!$A:$A,DATE(YEAR($G$2),MONTH($G$2),I$4))/1000,0),"")</f>
        <v/>
      </c>
      <c r="J8" s="4">
        <f>IF(J$4&lt;=DAY(EOMONTH($G$2,0)),IFERROR(SUMIFS('MS PRODUCTION LOG'!$G:$G,'MS PRODUCTION LOG'!$B:$B,$B8,'MS PRODUCTION LOG'!$A:$A,DATE(YEAR($G$2),MONTH($G$2),J$4))/1000,0),"")</f>
        <v/>
      </c>
      <c r="K8" s="4">
        <f>IF(K$4&lt;=DAY(EOMONTH($G$2,0)),IFERROR(SUMIFS('MS PRODUCTION LOG'!$G:$G,'MS PRODUCTION LOG'!$B:$B,$B8,'MS PRODUCTION LOG'!$A:$A,DATE(YEAR($G$2),MONTH($G$2),K$4))/1000,0),"")</f>
        <v/>
      </c>
      <c r="L8" s="4">
        <f>IF(L$4&lt;=DAY(EOMONTH($G$2,0)),IFERROR(SUMIFS('MS PRODUCTION LOG'!$G:$G,'MS PRODUCTION LOG'!$B:$B,$B8,'MS PRODUCTION LOG'!$A:$A,DATE(YEAR($G$2),MONTH($G$2),L$4))/1000,0),"")</f>
        <v/>
      </c>
      <c r="M8" s="4">
        <f>IF(M$4&lt;=DAY(EOMONTH($G$2,0)),IFERROR(SUMIFS('MS PRODUCTION LOG'!$G:$G,'MS PRODUCTION LOG'!$B:$B,$B8,'MS PRODUCTION LOG'!$A:$A,DATE(YEAR($G$2),MONTH($G$2),M$4))/1000,0),"")</f>
        <v/>
      </c>
      <c r="N8" s="4">
        <f>IF(N$4&lt;=DAY(EOMONTH($G$2,0)),IFERROR(SUMIFS('MS PRODUCTION LOG'!$G:$G,'MS PRODUCTION LOG'!$B:$B,$B8,'MS PRODUCTION LOG'!$A:$A,DATE(YEAR($G$2),MONTH($G$2),N$4))/1000,0),"")</f>
        <v/>
      </c>
      <c r="O8" s="4">
        <f>IF(O$4&lt;=DAY(EOMONTH($G$2,0)),IFERROR(SUMIFS('MS PRODUCTION LOG'!$G:$G,'MS PRODUCTION LOG'!$B:$B,$B8,'MS PRODUCTION LOG'!$A:$A,DATE(YEAR($G$2),MONTH($G$2),O$4))/1000,0),"")</f>
        <v/>
      </c>
      <c r="P8" s="4">
        <f>IF(P$4&lt;=DAY(EOMONTH($G$2,0)),IFERROR(SUMIFS('MS PRODUCTION LOG'!$G:$G,'MS PRODUCTION LOG'!$B:$B,$B8,'MS PRODUCTION LOG'!$A:$A,DATE(YEAR($G$2),MONTH($G$2),P$4))/1000,0),"")</f>
        <v/>
      </c>
      <c r="Q8" s="4">
        <f>IF(Q$4&lt;=DAY(EOMONTH($G$2,0)),IFERROR(SUMIFS('MS PRODUCTION LOG'!$G:$G,'MS PRODUCTION LOG'!$B:$B,$B8,'MS PRODUCTION LOG'!$A:$A,DATE(YEAR($G$2),MONTH($G$2),Q$4))/1000,0),"")</f>
        <v/>
      </c>
      <c r="R8" s="4">
        <f>IF(R$4&lt;=DAY(EOMONTH($G$2,0)),IFERROR(SUMIFS('MS PRODUCTION LOG'!$G:$G,'MS PRODUCTION LOG'!$B:$B,$B8,'MS PRODUCTION LOG'!$A:$A,DATE(YEAR($G$2),MONTH($G$2),R$4))/1000,0),"")</f>
        <v/>
      </c>
      <c r="S8" s="4">
        <f>IF(S$4&lt;=DAY(EOMONTH($G$2,0)),IFERROR(SUMIFS('MS PRODUCTION LOG'!$G:$G,'MS PRODUCTION LOG'!$B:$B,$B8,'MS PRODUCTION LOG'!$A:$A,DATE(YEAR($G$2),MONTH($G$2),S$4))/1000,0),"")</f>
        <v/>
      </c>
      <c r="T8" s="4">
        <f>IF(T$4&lt;=DAY(EOMONTH($G$2,0)),IFERROR(SUMIFS('MS PRODUCTION LOG'!$G:$G,'MS PRODUCTION LOG'!$B:$B,$B8,'MS PRODUCTION LOG'!$A:$A,DATE(YEAR($G$2),MONTH($G$2),T$4))/1000,0),"")</f>
        <v/>
      </c>
      <c r="U8" s="4">
        <f>IF(U$4&lt;=DAY(EOMONTH($G$2,0)),IFERROR(SUMIFS('MS PRODUCTION LOG'!$G:$G,'MS PRODUCTION LOG'!$B:$B,$B8,'MS PRODUCTION LOG'!$A:$A,DATE(YEAR($G$2),MONTH($G$2),U$4))/1000,0),"")</f>
        <v/>
      </c>
      <c r="V8" s="4">
        <f>IF(V$4&lt;=DAY(EOMONTH($G$2,0)),IFERROR(SUMIFS('MS PRODUCTION LOG'!$G:$G,'MS PRODUCTION LOG'!$B:$B,$B8,'MS PRODUCTION LOG'!$A:$A,DATE(YEAR($G$2),MONTH($G$2),V$4))/1000,0),"")</f>
        <v/>
      </c>
      <c r="W8" s="4">
        <f>IF(W$4&lt;=DAY(EOMONTH($G$2,0)),IFERROR(SUMIFS('MS PRODUCTION LOG'!$G:$G,'MS PRODUCTION LOG'!$B:$B,$B8,'MS PRODUCTION LOG'!$A:$A,DATE(YEAR($G$2),MONTH($G$2),W$4))/1000,0),"")</f>
        <v/>
      </c>
      <c r="X8" s="4">
        <f>IF(X$4&lt;=DAY(EOMONTH($G$2,0)),IFERROR(SUMIFS('MS PRODUCTION LOG'!$G:$G,'MS PRODUCTION LOG'!$B:$B,$B8,'MS PRODUCTION LOG'!$A:$A,DATE(YEAR($G$2),MONTH($G$2),X$4))/1000,0),"")</f>
        <v/>
      </c>
      <c r="Y8" s="4">
        <f>IF(Y$4&lt;=DAY(EOMONTH($G$2,0)),IFERROR(SUMIFS('MS PRODUCTION LOG'!$G:$G,'MS PRODUCTION LOG'!$B:$B,$B8,'MS PRODUCTION LOG'!$A:$A,DATE(YEAR($G$2),MONTH($G$2),Y$4))/1000,0),"")</f>
        <v/>
      </c>
      <c r="Z8" s="4">
        <f>IF(Z$4&lt;=DAY(EOMONTH($G$2,0)),IFERROR(SUMIFS('MS PRODUCTION LOG'!$G:$G,'MS PRODUCTION LOG'!$B:$B,$B8,'MS PRODUCTION LOG'!$A:$A,DATE(YEAR($G$2),MONTH($G$2),Z$4))/1000,0),"")</f>
        <v/>
      </c>
      <c r="AA8" s="4">
        <f>IF(AA$4&lt;=DAY(EOMONTH($G$2,0)),IFERROR(SUMIFS('MS PRODUCTION LOG'!$G:$G,'MS PRODUCTION LOG'!$B:$B,$B8,'MS PRODUCTION LOG'!$A:$A,DATE(YEAR($G$2),MONTH($G$2),AA$4))/1000,0),"")</f>
        <v/>
      </c>
      <c r="AB8" s="4">
        <f>IF(AB$4&lt;=DAY(EOMONTH($G$2,0)),IFERROR(SUMIFS('MS PRODUCTION LOG'!$G:$G,'MS PRODUCTION LOG'!$B:$B,$B8,'MS PRODUCTION LOG'!$A:$A,DATE(YEAR($G$2),MONTH($G$2),AB$4))/1000,0),"")</f>
        <v/>
      </c>
      <c r="AC8" s="4">
        <f>IF(AC$4&lt;=DAY(EOMONTH($G$2,0)),IFERROR(SUMIFS('MS PRODUCTION LOG'!$G:$G,'MS PRODUCTION LOG'!$B:$B,$B8,'MS PRODUCTION LOG'!$A:$A,DATE(YEAR($G$2),MONTH($G$2),AC$4))/1000,0),"")</f>
        <v/>
      </c>
      <c r="AD8" s="4">
        <f>IF(AD$4&lt;=DAY(EOMONTH($G$2,0)),IFERROR(SUMIFS('MS PRODUCTION LOG'!$G:$G,'MS PRODUCTION LOG'!$B:$B,$B8,'MS PRODUCTION LOG'!$A:$A,DATE(YEAR($G$2),MONTH($G$2),AD$4))/1000,0),"")</f>
        <v/>
      </c>
      <c r="AE8" s="4">
        <f>IF(AE$4&lt;=DAY(EOMONTH($G$2,0)),IFERROR(SUMIFS('MS PRODUCTION LOG'!$G:$G,'MS PRODUCTION LOG'!$B:$B,$B8,'MS PRODUCTION LOG'!$A:$A,DATE(YEAR($G$2),MONTH($G$2),AE$4))/1000,0),"")</f>
        <v/>
      </c>
      <c r="AF8" s="4">
        <f>IF(AF$4&lt;=DAY(EOMONTH($G$2,0)),IFERROR(SUMIFS('MS PRODUCTION LOG'!$G:$G,'MS PRODUCTION LOG'!$B:$B,$B8,'MS PRODUCTION LOG'!$A:$A,DATE(YEAR($G$2),MONTH($G$2),AF$4))/1000,0),"")</f>
        <v/>
      </c>
      <c r="AG8" s="4">
        <f>IF(AG$4&lt;=DAY(EOMONTH($G$2,0)),IFERROR(SUMIFS('MS PRODUCTION LOG'!$G:$G,'MS PRODUCTION LOG'!$B:$B,$B8,'MS PRODUCTION LOG'!$A:$A,DATE(YEAR($G$2),MONTH($G$2),AG$4))/1000,0),"")</f>
        <v/>
      </c>
      <c r="AH8" s="4">
        <f>IF(AH$4&lt;=DAY(EOMONTH($G$2,0)),IFERROR(SUMIFS('MS PRODUCTION LOG'!$G:$G,'MS PRODUCTION LOG'!$B:$B,$B8,'MS PRODUCTION LOG'!$A:$A,DATE(YEAR($G$2),MONTH($G$2),AH$4))/1000,0),"")</f>
        <v/>
      </c>
      <c r="AI8" s="4">
        <f>IF(AI$4&lt;=DAY(EOMONTH($G$2,0)),IFERROR(SUMIFS('MS PRODUCTION LOG'!$G:$G,'MS PRODUCTION LOG'!$B:$B,$B8,'MS PRODUCTION LOG'!$A:$A,DATE(YEAR($G$2),MONTH($G$2),AI$4))/1000,0),"")</f>
        <v/>
      </c>
      <c r="AJ8" s="4">
        <f>IF(AJ$4&lt;=DAY(EOMONTH($G$2,0)),IFERROR(SUMIFS('MS PRODUCTION LOG'!$G:$G,'MS PRODUCTION LOG'!$B:$B,$B8,'MS PRODUCTION LOG'!$A:$A,DATE(YEAR($G$2),MONTH($G$2),AJ$4))/1000,0),"")</f>
        <v/>
      </c>
      <c r="AK8" s="4">
        <f>IF(AK$4&lt;=DAY(EOMONTH($G$2,0)),IFERROR(SUMIFS('MS PRODUCTION LOG'!$G:$G,'MS PRODUCTION LOG'!$B:$B,$B8,'MS PRODUCTION LOG'!$A:$A,DATE(YEAR($G$2),MONTH($G$2),AK$4))/1000,0),"")</f>
        <v/>
      </c>
      <c r="AL8" s="4">
        <f>IF(AL$4&lt;=DAY(EOMONTH($G$2,0)),IFERROR(SUMIFS('MS PRODUCTION LOG'!$G:$G,'MS PRODUCTION LOG'!$B:$B,$B8,'MS PRODUCTION LOG'!$A:$A,DATE(YEAR($G$2),MONTH($G$2),AL$4))/1000,0),"")</f>
        <v/>
      </c>
    </row>
    <row r="9">
      <c r="A9" s="18" t="inlineStr">
        <is>
          <t>TOTAL</t>
        </is>
      </c>
      <c r="B9" s="18" t="n"/>
      <c r="C9" s="18">
        <f>SUM(C5:C8)</f>
        <v/>
      </c>
      <c r="D9" s="18">
        <f>SUM(D5:D8)</f>
        <v/>
      </c>
      <c r="E9" s="18">
        <f>SUM(E5:E8)</f>
        <v/>
      </c>
      <c r="F9" s="19">
        <f>SUM(F5:F8)</f>
        <v/>
      </c>
      <c r="G9" s="20">
        <f>IFERROR(F9/E9,0)</f>
        <v/>
      </c>
      <c r="H9" s="19">
        <f>IF(H5="","",SUM(H5:H8))</f>
        <v/>
      </c>
      <c r="I9" s="19">
        <f>IF(I5="","",SUM(I5:I8))</f>
        <v/>
      </c>
      <c r="J9" s="19">
        <f>IF(J5="","",SUM(J5:J8))</f>
        <v/>
      </c>
      <c r="K9" s="19">
        <f>IF(K5="","",SUM(K5:K8))</f>
        <v/>
      </c>
      <c r="L9" s="19">
        <f>IF(L5="","",SUM(L5:L8))</f>
        <v/>
      </c>
      <c r="M9" s="19">
        <f>IF(M5="","",SUM(M5:M8))</f>
        <v/>
      </c>
      <c r="N9" s="19">
        <f>IF(N5="","",SUM(N5:N8))</f>
        <v/>
      </c>
      <c r="O9" s="19">
        <f>IF(O5="","",SUM(O5:O8))</f>
        <v/>
      </c>
      <c r="P9" s="19">
        <f>IF(P5="","",SUM(P5:P8))</f>
        <v/>
      </c>
      <c r="Q9" s="19">
        <f>IF(Q5="","",SUM(Q5:Q8))</f>
        <v/>
      </c>
      <c r="R9" s="19">
        <f>IF(R5="","",SUM(R5:R8))</f>
        <v/>
      </c>
      <c r="S9" s="19">
        <f>IF(S5="","",SUM(S5:S8))</f>
        <v/>
      </c>
      <c r="T9" s="19">
        <f>IF(T5="","",SUM(T5:T8))</f>
        <v/>
      </c>
      <c r="U9" s="19">
        <f>IF(U5="","",SUM(U5:U8))</f>
        <v/>
      </c>
      <c r="V9" s="19">
        <f>IF(V5="","",SUM(V5:V8))</f>
        <v/>
      </c>
      <c r="W9" s="19">
        <f>IF(W5="","",SUM(W5:W8))</f>
        <v/>
      </c>
      <c r="X9" s="19">
        <f>IF(X5="","",SUM(X5:X8))</f>
        <v/>
      </c>
      <c r="Y9" s="19">
        <f>IF(Y5="","",SUM(Y5:Y8))</f>
        <v/>
      </c>
      <c r="Z9" s="19">
        <f>IF(Z5="","",SUM(Z5:Z8))</f>
        <v/>
      </c>
      <c r="AA9" s="19">
        <f>IF(AA5="","",SUM(AA5:AA8))</f>
        <v/>
      </c>
      <c r="AB9" s="19">
        <f>IF(AB5="","",SUM(AB5:AB8))</f>
        <v/>
      </c>
      <c r="AC9" s="19">
        <f>IF(AC5="","",SUM(AC5:AC8))</f>
        <v/>
      </c>
      <c r="AD9" s="19">
        <f>IF(AD5="","",SUM(AD5:AD8))</f>
        <v/>
      </c>
      <c r="AE9" s="19">
        <f>IF(AE5="","",SUM(AE5:AE8))</f>
        <v/>
      </c>
      <c r="AF9" s="19">
        <f>IF(AF5="","",SUM(AF5:AF8))</f>
        <v/>
      </c>
      <c r="AG9" s="19">
        <f>IF(AG5="","",SUM(AG5:AG8))</f>
        <v/>
      </c>
      <c r="AH9" s="19">
        <f>IF(AH5="","",SUM(AH5:AH8))</f>
        <v/>
      </c>
      <c r="AI9" s="19">
        <f>IF(AI5="","",SUM(AI5:AI8))</f>
        <v/>
      </c>
      <c r="AJ9" s="19">
        <f>IF(AJ5="","",SUM(AJ5:AJ8))</f>
        <v/>
      </c>
      <c r="AK9" s="19">
        <f>IF(AK5="","",SUM(AK5:AK8))</f>
        <v/>
      </c>
      <c r="AL9" s="19">
        <f>IF(AL5="","",SUM(AL5:AL8))</f>
        <v/>
      </c>
    </row>
    <row r="10">
      <c r="A10" s="21" t="inlineStr">
        <is>
          <t>CUMULATIVE TOTAL</t>
        </is>
      </c>
      <c r="B10" s="21" t="n"/>
      <c r="C10" s="21" t="n"/>
      <c r="D10" s="21" t="n"/>
      <c r="E10" s="21" t="n"/>
      <c r="F10" s="21" t="n"/>
      <c r="G10" s="21" t="n"/>
      <c r="H10" s="22">
        <f>IF(H9="","",H9)</f>
        <v/>
      </c>
      <c r="I10" s="22">
        <f>IF(I9="",H10,H10+I9)</f>
        <v/>
      </c>
      <c r="J10" s="22">
        <f>IF(J9="",I10,I10+J9)</f>
        <v/>
      </c>
      <c r="K10" s="22">
        <f>IF(K9="",J10,J10+K9)</f>
        <v/>
      </c>
      <c r="L10" s="22">
        <f>IF(L9="",K10,K10+L9)</f>
        <v/>
      </c>
      <c r="M10" s="22">
        <f>IF(M9="",L10,L10+M9)</f>
        <v/>
      </c>
      <c r="N10" s="22">
        <f>IF(N9="",M10,M10+N9)</f>
        <v/>
      </c>
      <c r="O10" s="22">
        <f>IF(O9="",N10,N10+O9)</f>
        <v/>
      </c>
      <c r="P10" s="22">
        <f>IF(P9="",O10,O10+P9)</f>
        <v/>
      </c>
      <c r="Q10" s="22">
        <f>IF(Q9="",P10,P10+Q9)</f>
        <v/>
      </c>
      <c r="R10" s="22">
        <f>IF(R9="",Q10,Q10+R9)</f>
        <v/>
      </c>
      <c r="S10" s="22">
        <f>IF(S9="",R10,R10+S9)</f>
        <v/>
      </c>
      <c r="T10" s="22">
        <f>IF(T9="",S10,S10+T9)</f>
        <v/>
      </c>
      <c r="U10" s="22">
        <f>IF(U9="",T10,T10+U9)</f>
        <v/>
      </c>
      <c r="V10" s="22">
        <f>IF(V9="",U10,U10+V9)</f>
        <v/>
      </c>
      <c r="W10" s="22">
        <f>IF(W9="",V10,V10+W9)</f>
        <v/>
      </c>
      <c r="X10" s="22">
        <f>IF(X9="",W10,W10+X9)</f>
        <v/>
      </c>
      <c r="Y10" s="22">
        <f>IF(Y9="",X10,X10+Y9)</f>
        <v/>
      </c>
      <c r="Z10" s="22">
        <f>IF(Z9="",Y10,Y10+Z9)</f>
        <v/>
      </c>
      <c r="AA10" s="22">
        <f>IF(AA9="",Z10,Z10+AA9)</f>
        <v/>
      </c>
      <c r="AB10" s="22">
        <f>IF(AB9="",AA10,AA10+AB9)</f>
        <v/>
      </c>
      <c r="AC10" s="22">
        <f>IF(AC9="",AB10,AB10+AC9)</f>
        <v/>
      </c>
      <c r="AD10" s="22">
        <f>IF(AD9="",AC10,AC10+AD9)</f>
        <v/>
      </c>
      <c r="AE10" s="22">
        <f>IF(AE9="",AD10,AD10+AE9)</f>
        <v/>
      </c>
      <c r="AF10" s="22">
        <f>IF(AF9="",AE10,AE10+AF9)</f>
        <v/>
      </c>
      <c r="AG10" s="22">
        <f>IF(AG9="",AF10,AF10+AG9)</f>
        <v/>
      </c>
      <c r="AH10" s="22">
        <f>IF(AH9="",AG10,AG10+AH9)</f>
        <v/>
      </c>
      <c r="AI10" s="22">
        <f>IF(AI9="",AH10,AH10+AI9)</f>
        <v/>
      </c>
      <c r="AJ10" s="22">
        <f>IF(AJ9="",AI10,AI10+AJ9)</f>
        <v/>
      </c>
      <c r="AK10" s="22">
        <f>IF(AK9="",AJ10,AJ10+AK9)</f>
        <v/>
      </c>
      <c r="AL10" s="22">
        <f>IF(AL9="",AK10,AK10+AL9)</f>
        <v/>
      </c>
    </row>
  </sheetData>
  <mergeCells count="3">
    <mergeCell ref="A2:F2"/>
    <mergeCell ref="B10:E10"/>
    <mergeCell ref="A1:H1"/>
  </mergeCells>
  <conditionalFormatting sqref="H5:AL8">
    <cfRule type="expression" priority="1" dxfId="0">
      <formula>AND(H5&lt;&gt;"",H5&gt;=2)</formula>
    </cfRule>
    <cfRule type="expression" priority="2" dxfId="1">
      <formula>AND(H5&lt;&gt;"",H5&gt;0,H5&lt;2)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2" t="inlineStr">
        <is>
          <t>PRODUCTION OF UNIT 7 - AUTO-CALCULATED (from MS PRODUCTION LOG tab - don't type numbers here)</t>
        </is>
      </c>
    </row>
    <row r="2">
      <c r="A2" s="13" t="inlineStr">
        <is>
          <t>Month Start (change only this cell each month):</t>
        </is>
      </c>
      <c r="E2" s="14" t="n">
        <v>46266</v>
      </c>
      <c r="F2" s="23" t="n"/>
    </row>
    <row r="4">
      <c r="A4" s="1" t="inlineStr">
        <is>
          <t>FURNACE</t>
        </is>
      </c>
      <c r="B4" s="1" t="inlineStr">
        <is>
          <t>SQF-1</t>
        </is>
      </c>
      <c r="C4" s="1" t="inlineStr">
        <is>
          <t>SQF-2</t>
        </is>
      </c>
      <c r="D4" s="1" t="inlineStr">
        <is>
          <t>SQF-3</t>
        </is>
      </c>
      <c r="E4" s="1" t="inlineStr">
        <is>
          <t>SQF-4</t>
        </is>
      </c>
      <c r="F4" s="1" t="inlineStr">
        <is>
          <t>TOTAL</t>
        </is>
      </c>
    </row>
    <row r="5">
      <c r="A5" s="24" t="inlineStr">
        <is>
          <t>BATCHES (IN NOS)</t>
        </is>
      </c>
      <c r="B5" s="3">
        <f>SUMIFS('MS PRODUCTION LOG'!$P:$P,'MS PRODUCTION LOG'!$B:$B,1,'MS PRODUCTION LOG'!$A:$A,"&gt;="&amp;$E$2,'MS PRODUCTION LOG'!$A:$A,"&lt;="&amp;EOMONTH($E$2,0))</f>
        <v/>
      </c>
      <c r="C5" s="3">
        <f>SUMIFS('MS PRODUCTION LOG'!$P:$P,'MS PRODUCTION LOG'!$B:$B,2,'MS PRODUCTION LOG'!$A:$A,"&gt;="&amp;$E$2,'MS PRODUCTION LOG'!$A:$A,"&lt;="&amp;EOMONTH($E$2,0))</f>
        <v/>
      </c>
      <c r="D5" s="3">
        <f>SUMIFS('MS PRODUCTION LOG'!$P:$P,'MS PRODUCTION LOG'!$B:$B,3,'MS PRODUCTION LOG'!$A:$A,"&gt;="&amp;$E$2,'MS PRODUCTION LOG'!$A:$A,"&lt;="&amp;EOMONTH($E$2,0))</f>
        <v/>
      </c>
      <c r="E5" s="3">
        <f>SUMIFS('MS PRODUCTION LOG'!$P:$P,'MS PRODUCTION LOG'!$B:$B,4,'MS PRODUCTION LOG'!$A:$A,"&gt;="&amp;$E$2,'MS PRODUCTION LOG'!$A:$A,"&lt;="&amp;EOMONTH($E$2,0))</f>
        <v/>
      </c>
      <c r="F5" s="24">
        <f>SUM(B5:E5)</f>
        <v/>
      </c>
    </row>
    <row r="6">
      <c r="A6" s="24" t="inlineStr">
        <is>
          <t>TOTAL NUMBER OF PARTS (SQF WISE)</t>
        </is>
      </c>
      <c r="B6" s="3">
        <f>SUMIFS('MS PRODUCTION LOG'!$E:$E,'MS PRODUCTION LOG'!$B:$B,1,'MS PRODUCTION LOG'!$A:$A,"&gt;="&amp;$E$2,'MS PRODUCTION LOG'!$A:$A,"&lt;="&amp;EOMONTH($E$2,0))</f>
        <v/>
      </c>
      <c r="C6" s="3">
        <f>SUMIFS('MS PRODUCTION LOG'!$E:$E,'MS PRODUCTION LOG'!$B:$B,2,'MS PRODUCTION LOG'!$A:$A,"&gt;="&amp;$E$2,'MS PRODUCTION LOG'!$A:$A,"&lt;="&amp;EOMONTH($E$2,0))</f>
        <v/>
      </c>
      <c r="D6" s="3">
        <f>SUMIFS('MS PRODUCTION LOG'!$E:$E,'MS PRODUCTION LOG'!$B:$B,3,'MS PRODUCTION LOG'!$A:$A,"&gt;="&amp;$E$2,'MS PRODUCTION LOG'!$A:$A,"&lt;="&amp;EOMONTH($E$2,0))</f>
        <v/>
      </c>
      <c r="E6" s="3">
        <f>SUMIFS('MS PRODUCTION LOG'!$E:$E,'MS PRODUCTION LOG'!$B:$B,4,'MS PRODUCTION LOG'!$A:$A,"&gt;="&amp;$E$2,'MS PRODUCTION LOG'!$A:$A,"&lt;="&amp;EOMONTH($E$2,0))</f>
        <v/>
      </c>
      <c r="F6" s="24">
        <f>SUM(B6:E6)</f>
        <v/>
      </c>
    </row>
    <row r="7">
      <c r="A7" s="24" t="inlineStr">
        <is>
          <t>TOTAL WEIGHT (IN KGS)</t>
        </is>
      </c>
      <c r="B7" s="4">
        <f>SUMIFS('MS PRODUCTION LOG'!$G:$G,'MS PRODUCTION LOG'!$B:$B,1,'MS PRODUCTION LOG'!$A:$A,"&gt;="&amp;$E$2,'MS PRODUCTION LOG'!$A:$A,"&lt;="&amp;EOMONTH($E$2,0))</f>
        <v/>
      </c>
      <c r="C7" s="4">
        <f>SUMIFS('MS PRODUCTION LOG'!$G:$G,'MS PRODUCTION LOG'!$B:$B,2,'MS PRODUCTION LOG'!$A:$A,"&gt;="&amp;$E$2,'MS PRODUCTION LOG'!$A:$A,"&lt;="&amp;EOMONTH($E$2,0))</f>
        <v/>
      </c>
      <c r="D7" s="4">
        <f>SUMIFS('MS PRODUCTION LOG'!$G:$G,'MS PRODUCTION LOG'!$B:$B,3,'MS PRODUCTION LOG'!$A:$A,"&gt;="&amp;$E$2,'MS PRODUCTION LOG'!$A:$A,"&lt;="&amp;EOMONTH($E$2,0))</f>
        <v/>
      </c>
      <c r="E7" s="4">
        <f>SUMIFS('MS PRODUCTION LOG'!$G:$G,'MS PRODUCTION LOG'!$B:$B,4,'MS PRODUCTION LOG'!$A:$A,"&gt;="&amp;$E$2,'MS PRODUCTION LOG'!$A:$A,"&lt;="&amp;EOMONTH($E$2,0))</f>
        <v/>
      </c>
      <c r="F7" s="25">
        <f>SUM(B7:E7)</f>
        <v/>
      </c>
    </row>
    <row r="9">
      <c r="A9" s="26" t="inlineStr">
        <is>
          <t>GRAND WEIGHT (IN KGS)</t>
        </is>
      </c>
      <c r="B9" s="27">
        <f>F7</f>
        <v/>
      </c>
    </row>
    <row r="10">
      <c r="A10" s="26" t="inlineStr">
        <is>
          <t>GRAND WEIGHT (IN TONS)</t>
        </is>
      </c>
      <c r="B10" s="28">
        <f>B9/1000</f>
        <v/>
      </c>
    </row>
    <row r="11">
      <c r="A11" t="inlineStr">
        <is>
          <t>TOTAL BATCHES (IN NOS)</t>
        </is>
      </c>
      <c r="B11">
        <f>F5</f>
        <v/>
      </c>
    </row>
    <row r="12">
      <c r="A12" t="inlineStr">
        <is>
          <t>TOTAL NUMBER OF PARTS</t>
        </is>
      </c>
      <c r="B12">
        <f>F6</f>
        <v/>
      </c>
    </row>
    <row r="14">
      <c r="A14" s="29" t="inlineStr">
        <is>
          <t>MAJOR PRODUCTION LOSS'S</t>
        </is>
      </c>
    </row>
    <row r="15">
      <c r="A15" t="inlineStr">
        <is>
          <t>TOTAL PRODUCTION IN TON</t>
        </is>
      </c>
      <c r="B15" s="30">
        <f>B10</f>
        <v/>
      </c>
    </row>
    <row r="16">
      <c r="A16" t="inlineStr">
        <is>
          <t>NO OF DUMMY LOT PROCEED IN NPD PARTS (fill manually)</t>
        </is>
      </c>
      <c r="B16" t="inlineStr">
        <is>
          <t>NIL</t>
        </is>
      </c>
    </row>
    <row r="17">
      <c r="A17" t="inlineStr">
        <is>
          <t>Furnace idle - no load / material not available (fill manually)</t>
        </is>
      </c>
      <c r="B17" t="n">
        <v>0</v>
      </c>
    </row>
    <row r="18">
      <c r="A18" t="inlineStr">
        <is>
          <t>Loss due to Furnace Breakdown &amp; PM work (fill manually)</t>
        </is>
      </c>
      <c r="B18" t="inlineStr">
        <is>
          <t>NIL</t>
        </is>
      </c>
    </row>
  </sheetData>
  <mergeCells count="3">
    <mergeCell ref="E2:F2"/>
    <mergeCell ref="A1:F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HEAT TREATMENT - U7 (auto-calculated from MS PRODUCTION LOG tab - don't type numbers here)</t>
        </is>
      </c>
    </row>
    <row r="2">
      <c r="A2" s="13" t="inlineStr">
        <is>
          <t>Date (jo date daalenge, USI din ka live data yahan aa jayega):</t>
        </is>
      </c>
      <c r="D2" s="14">
        <f>TODAY()</f>
        <v/>
      </c>
      <c r="E2" s="23" t="n"/>
    </row>
    <row r="4">
      <c r="A4" s="1" t="inlineStr">
        <is>
          <t>FURNACE NO</t>
        </is>
      </c>
      <c r="B4" s="1" t="inlineStr">
        <is>
          <t>TD QTY</t>
        </is>
      </c>
      <c r="C4" s="1" t="inlineStr">
        <is>
          <t>MTD QTY</t>
        </is>
      </c>
      <c r="D4" s="1" t="inlineStr">
        <is>
          <t>TD TON</t>
        </is>
      </c>
      <c r="E4" s="1" t="inlineStr">
        <is>
          <t>MTD TON</t>
        </is>
      </c>
    </row>
    <row r="5">
      <c r="A5" s="16" t="inlineStr">
        <is>
          <t>SQF - 01</t>
        </is>
      </c>
      <c r="B5" s="3">
        <f>SUMIFS('MS PRODUCTION LOG'!$E:$E,'MS PRODUCTION LOG'!$B:$B,1,'MS PRODUCTION LOG'!$A:$A,$D$2)</f>
        <v/>
      </c>
      <c r="C5" s="3">
        <f>SUMIFS('MS PRODUCTION LOG'!$E:$E,'MS PRODUCTION LOG'!$B:$B,1,'MS PRODUCTION LOG'!$A:$A,"&gt;="&amp;DATE(YEAR($D$2),MONTH($D$2),1),'MS PRODUCTION LOG'!$A:$A,"&lt;="&amp;$D$2)</f>
        <v/>
      </c>
      <c r="D5" s="4">
        <f>SUMIFS('MS PRODUCTION LOG'!$G:$G,'MS PRODUCTION LOG'!$B:$B,1,'MS PRODUCTION LOG'!$A:$A,$D$2)/1000</f>
        <v/>
      </c>
      <c r="E5" s="4">
        <f>SUMIFS('MS PRODUCTION LOG'!$G:$G,'MS PRODUCTION LOG'!$B:$B,1,'MS PRODUCTION LOG'!$A:$A,"&gt;="&amp;DATE(YEAR($D$2),MONTH($D$2),1),'MS PRODUCTION LOG'!$A:$A,"&lt;="&amp;$D$2)/1000</f>
        <v/>
      </c>
    </row>
    <row r="6">
      <c r="A6" s="16" t="inlineStr">
        <is>
          <t>SQF - 02</t>
        </is>
      </c>
      <c r="B6" s="3">
        <f>SUMIFS('MS PRODUCTION LOG'!$E:$E,'MS PRODUCTION LOG'!$B:$B,2,'MS PRODUCTION LOG'!$A:$A,$D$2)</f>
        <v/>
      </c>
      <c r="C6" s="3">
        <f>SUMIFS('MS PRODUCTION LOG'!$E:$E,'MS PRODUCTION LOG'!$B:$B,2,'MS PRODUCTION LOG'!$A:$A,"&gt;="&amp;DATE(YEAR($D$2),MONTH($D$2),1),'MS PRODUCTION LOG'!$A:$A,"&lt;="&amp;$D$2)</f>
        <v/>
      </c>
      <c r="D6" s="4">
        <f>SUMIFS('MS PRODUCTION LOG'!$G:$G,'MS PRODUCTION LOG'!$B:$B,2,'MS PRODUCTION LOG'!$A:$A,$D$2)/1000</f>
        <v/>
      </c>
      <c r="E6" s="4">
        <f>SUMIFS('MS PRODUCTION LOG'!$G:$G,'MS PRODUCTION LOG'!$B:$B,2,'MS PRODUCTION LOG'!$A:$A,"&gt;="&amp;DATE(YEAR($D$2),MONTH($D$2),1),'MS PRODUCTION LOG'!$A:$A,"&lt;="&amp;$D$2)/1000</f>
        <v/>
      </c>
    </row>
    <row r="7">
      <c r="A7" s="16" t="inlineStr">
        <is>
          <t>SQF - 03</t>
        </is>
      </c>
      <c r="B7" s="3">
        <f>SUMIFS('MS PRODUCTION LOG'!$E:$E,'MS PRODUCTION LOG'!$B:$B,3,'MS PRODUCTION LOG'!$A:$A,$D$2)</f>
        <v/>
      </c>
      <c r="C7" s="3">
        <f>SUMIFS('MS PRODUCTION LOG'!$E:$E,'MS PRODUCTION LOG'!$B:$B,3,'MS PRODUCTION LOG'!$A:$A,"&gt;="&amp;DATE(YEAR($D$2),MONTH($D$2),1),'MS PRODUCTION LOG'!$A:$A,"&lt;="&amp;$D$2)</f>
        <v/>
      </c>
      <c r="D7" s="4">
        <f>SUMIFS('MS PRODUCTION LOG'!$G:$G,'MS PRODUCTION LOG'!$B:$B,3,'MS PRODUCTION LOG'!$A:$A,$D$2)/1000</f>
        <v/>
      </c>
      <c r="E7" s="4">
        <f>SUMIFS('MS PRODUCTION LOG'!$G:$G,'MS PRODUCTION LOG'!$B:$B,3,'MS PRODUCTION LOG'!$A:$A,"&gt;="&amp;DATE(YEAR($D$2),MONTH($D$2),1),'MS PRODUCTION LOG'!$A:$A,"&lt;="&amp;$D$2)/1000</f>
        <v/>
      </c>
    </row>
    <row r="8">
      <c r="A8" s="16" t="inlineStr">
        <is>
          <t>SQF - 04</t>
        </is>
      </c>
      <c r="B8" s="3">
        <f>SUMIFS('MS PRODUCTION LOG'!$E:$E,'MS PRODUCTION LOG'!$B:$B,4,'MS PRODUCTION LOG'!$A:$A,$D$2)</f>
        <v/>
      </c>
      <c r="C8" s="3">
        <f>SUMIFS('MS PRODUCTION LOG'!$E:$E,'MS PRODUCTION LOG'!$B:$B,4,'MS PRODUCTION LOG'!$A:$A,"&gt;="&amp;DATE(YEAR($D$2),MONTH($D$2),1),'MS PRODUCTION LOG'!$A:$A,"&lt;="&amp;$D$2)</f>
        <v/>
      </c>
      <c r="D8" s="4">
        <f>SUMIFS('MS PRODUCTION LOG'!$G:$G,'MS PRODUCTION LOG'!$B:$B,4,'MS PRODUCTION LOG'!$A:$A,$D$2)/1000</f>
        <v/>
      </c>
      <c r="E8" s="4">
        <f>SUMIFS('MS PRODUCTION LOG'!$G:$G,'MS PRODUCTION LOG'!$B:$B,4,'MS PRODUCTION LOG'!$A:$A,"&gt;="&amp;DATE(YEAR($D$2),MONTH($D$2),1),'MS PRODUCTION LOG'!$A:$A,"&lt;="&amp;$D$2)/1000</f>
        <v/>
      </c>
    </row>
    <row r="9">
      <c r="A9" s="31" t="inlineStr">
        <is>
          <t>TOTAL</t>
        </is>
      </c>
      <c r="B9" s="18">
        <f>SUM(B5:B8)</f>
        <v/>
      </c>
      <c r="C9" s="18">
        <f>SUM(C5:C8)</f>
        <v/>
      </c>
      <c r="D9" s="19">
        <f>SUM(D5:D8)</f>
        <v/>
      </c>
      <c r="E9" s="19">
        <f>SUM(E5:E8)</f>
        <v/>
      </c>
    </row>
  </sheetData>
  <mergeCells count="3">
    <mergeCell ref="A1:E1"/>
    <mergeCell ref="A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2026-09-18T16:23:36Z</dcterms:created>
  <dcterms:modified xmlns:dcterms="http://purl.org/dc/terms/" xmlns:xsi="http://www.w3.org/2001/XMLSchema-instance" xsi:type="dcterms:W3CDTF">2026-09-18T16:23:36Z</dcterms:modified>
</cp:coreProperties>
</file>